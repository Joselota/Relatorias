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xl/webextensions/webextension2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Mac\Home\Documents\Relatorias\Excel\"/>
    </mc:Choice>
  </mc:AlternateContent>
  <xr:revisionPtr revIDLastSave="0" documentId="13_ncr:1_{50D92ED6-13D0-4937-96C1-4ED2C3C6F51A}" xr6:coauthVersionLast="47" xr6:coauthVersionMax="47" xr10:uidLastSave="{00000000-0000-0000-0000-000000000000}"/>
  <bookViews>
    <workbookView xWindow="-120" yWindow="-120" windowWidth="25440" windowHeight="14700" activeTab="1" xr2:uid="{AF714EF7-3D0F-49B7-815C-B9007B2E34CE}"/>
  </bookViews>
  <sheets>
    <sheet name="Parámetros" sheetId="1" r:id="rId1"/>
    <sheet name="Ventas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M2" i="2" l="1"/>
  <c r="L2" i="2"/>
  <c r="K3" i="2"/>
  <c r="K4" i="2"/>
  <c r="K5" i="2"/>
  <c r="K6" i="2"/>
  <c r="K7" i="2"/>
  <c r="K8" i="2"/>
  <c r="K9" i="2"/>
  <c r="K10" i="2"/>
  <c r="K11" i="2"/>
  <c r="K12" i="2"/>
  <c r="K13" i="2"/>
  <c r="K14" i="2"/>
  <c r="K15" i="2"/>
  <c r="K16" i="2"/>
  <c r="K17" i="2"/>
  <c r="K18" i="2"/>
  <c r="K19" i="2"/>
  <c r="K20" i="2"/>
  <c r="K21" i="2"/>
  <c r="K22" i="2"/>
  <c r="K23" i="2"/>
  <c r="K24" i="2"/>
  <c r="K25" i="2"/>
  <c r="K26" i="2"/>
  <c r="K27" i="2"/>
  <c r="K28" i="2"/>
  <c r="K29" i="2"/>
  <c r="K30" i="2"/>
  <c r="K31" i="2"/>
  <c r="K32" i="2"/>
  <c r="K33" i="2"/>
  <c r="K34" i="2"/>
  <c r="K35" i="2"/>
  <c r="K36" i="2"/>
  <c r="K37" i="2"/>
  <c r="K38" i="2"/>
  <c r="K39" i="2"/>
  <c r="K40" i="2"/>
  <c r="K41" i="2"/>
  <c r="K42" i="2"/>
  <c r="K43" i="2"/>
  <c r="K44" i="2"/>
  <c r="K45" i="2"/>
  <c r="K46" i="2"/>
  <c r="K47" i="2"/>
  <c r="K48" i="2"/>
  <c r="K49" i="2"/>
  <c r="K50" i="2"/>
  <c r="K51" i="2"/>
  <c r="K52" i="2"/>
  <c r="K53" i="2"/>
  <c r="K54" i="2"/>
  <c r="K55" i="2"/>
  <c r="K56" i="2"/>
  <c r="K57" i="2"/>
  <c r="K58" i="2"/>
  <c r="K59" i="2"/>
  <c r="K60" i="2"/>
  <c r="K61" i="2"/>
  <c r="K62" i="2"/>
  <c r="K63" i="2"/>
  <c r="K64" i="2"/>
  <c r="K65" i="2"/>
  <c r="K66" i="2"/>
  <c r="K67" i="2"/>
  <c r="K68" i="2"/>
  <c r="K69" i="2"/>
  <c r="K70" i="2"/>
  <c r="K71" i="2"/>
  <c r="K72" i="2"/>
  <c r="K73" i="2"/>
  <c r="K74" i="2"/>
  <c r="K75" i="2"/>
  <c r="K76" i="2"/>
  <c r="K77" i="2"/>
  <c r="K78" i="2"/>
  <c r="K79" i="2"/>
  <c r="K80" i="2"/>
  <c r="K81" i="2"/>
  <c r="K2" i="2"/>
</calcChain>
</file>

<file path=xl/sharedStrings.xml><?xml version="1.0" encoding="utf-8"?>
<sst xmlns="http://schemas.openxmlformats.org/spreadsheetml/2006/main" count="492" uniqueCount="116">
  <si>
    <t>Fecha</t>
  </si>
  <si>
    <t>ID Venta</t>
  </si>
  <si>
    <t>Región</t>
  </si>
  <si>
    <t>Vendedor</t>
  </si>
  <si>
    <t>Categoría</t>
  </si>
  <si>
    <t>Producto</t>
  </si>
  <si>
    <t>Canal</t>
  </si>
  <si>
    <t>Cantidad</t>
  </si>
  <si>
    <t>Precio unitario</t>
  </si>
  <si>
    <t>Descuento</t>
  </si>
  <si>
    <t>Venta neta</t>
  </si>
  <si>
    <t>V-1001</t>
  </si>
  <si>
    <t>Biobío</t>
  </si>
  <si>
    <t>María Fuentes</t>
  </si>
  <si>
    <t>Servicios</t>
  </si>
  <si>
    <t>Mantención preventiva</t>
  </si>
  <si>
    <t>Directo</t>
  </si>
  <si>
    <t>V-1002</t>
  </si>
  <si>
    <t>Metropolitana</t>
  </si>
  <si>
    <t>Javier Muñoz</t>
  </si>
  <si>
    <t>Repuestos</t>
  </si>
  <si>
    <t>Sensor de temperatura</t>
  </si>
  <si>
    <t>Online</t>
  </si>
  <si>
    <t>V-1003</t>
  </si>
  <si>
    <t>Luis Pérez</t>
  </si>
  <si>
    <t>V-1004</t>
  </si>
  <si>
    <t>Carlos Rojas</t>
  </si>
  <si>
    <t>Quemador de reemplazo</t>
  </si>
  <si>
    <t>V-1005</t>
  </si>
  <si>
    <t>Inspección anual</t>
  </si>
  <si>
    <t>V-1006</t>
  </si>
  <si>
    <t>Distribuidor</t>
  </si>
  <si>
    <t>V-1007</t>
  </si>
  <si>
    <t>Andrea Soto</t>
  </si>
  <si>
    <t>Calderas</t>
  </si>
  <si>
    <t>Caldera Compacta C-50</t>
  </si>
  <si>
    <t>V-1008</t>
  </si>
  <si>
    <t>Antofagasta</t>
  </si>
  <si>
    <t>Válvula de seguridad</t>
  </si>
  <si>
    <t>V-1009</t>
  </si>
  <si>
    <t>Valparaíso</t>
  </si>
  <si>
    <t>V-1010</t>
  </si>
  <si>
    <t>V-1011</t>
  </si>
  <si>
    <t>V-1012</t>
  </si>
  <si>
    <t>V-1013</t>
  </si>
  <si>
    <t>V-1014</t>
  </si>
  <si>
    <t>Caldera Industrial C-100</t>
  </si>
  <si>
    <t>V-1015</t>
  </si>
  <si>
    <t>V-1016</t>
  </si>
  <si>
    <t>V-1017</t>
  </si>
  <si>
    <t>V-1018</t>
  </si>
  <si>
    <t>V-1019</t>
  </si>
  <si>
    <t>Insumos</t>
  </si>
  <si>
    <t>Kit de sellos</t>
  </si>
  <si>
    <t>V-1020</t>
  </si>
  <si>
    <t>V-1021</t>
  </si>
  <si>
    <t>V-1022</t>
  </si>
  <si>
    <t>V-1023</t>
  </si>
  <si>
    <t>V-1024</t>
  </si>
  <si>
    <t>V-1025</t>
  </si>
  <si>
    <t>V-1026</t>
  </si>
  <si>
    <t>V-1027</t>
  </si>
  <si>
    <t>V-1028</t>
  </si>
  <si>
    <t>V-1029</t>
  </si>
  <si>
    <t>V-1030</t>
  </si>
  <si>
    <t>V-1031</t>
  </si>
  <si>
    <t>V-1032</t>
  </si>
  <si>
    <t>V-1033</t>
  </si>
  <si>
    <t>V-1034</t>
  </si>
  <si>
    <t>V-1035</t>
  </si>
  <si>
    <t>V-1036</t>
  </si>
  <si>
    <t>V-1037</t>
  </si>
  <si>
    <t>V-1038</t>
  </si>
  <si>
    <t>V-1039</t>
  </si>
  <si>
    <t>V-1040</t>
  </si>
  <si>
    <t>V-1041</t>
  </si>
  <si>
    <t>V-1042</t>
  </si>
  <si>
    <t>V-1043</t>
  </si>
  <si>
    <t>V-1044</t>
  </si>
  <si>
    <t>V-1045</t>
  </si>
  <si>
    <t>V-1046</t>
  </si>
  <si>
    <t>V-1047</t>
  </si>
  <si>
    <t>V-1048</t>
  </si>
  <si>
    <t>V-1049</t>
  </si>
  <si>
    <t>V-1050</t>
  </si>
  <si>
    <t>V-1051</t>
  </si>
  <si>
    <t>V-1052</t>
  </si>
  <si>
    <t>V-1053</t>
  </si>
  <si>
    <t>V-1054</t>
  </si>
  <si>
    <t>V-1055</t>
  </si>
  <si>
    <t>V-1056</t>
  </si>
  <si>
    <t>V-1057</t>
  </si>
  <si>
    <t>V-1058</t>
  </si>
  <si>
    <t>V-1059</t>
  </si>
  <si>
    <t>V-1060</t>
  </si>
  <si>
    <t>V-1061</t>
  </si>
  <si>
    <t>V-1062</t>
  </si>
  <si>
    <t>V-1063</t>
  </si>
  <si>
    <t>V-1064</t>
  </si>
  <si>
    <t>V-1065</t>
  </si>
  <si>
    <t>V-1066</t>
  </si>
  <si>
    <t>V-1067</t>
  </si>
  <si>
    <t>V-1068</t>
  </si>
  <si>
    <t>V-1069</t>
  </si>
  <si>
    <t>V-1070</t>
  </si>
  <si>
    <t>V-1071</t>
  </si>
  <si>
    <t>V-1072</t>
  </si>
  <si>
    <t>V-1073</t>
  </si>
  <si>
    <t>V-1074</t>
  </si>
  <si>
    <t>V-1075</t>
  </si>
  <si>
    <t>V-1076</t>
  </si>
  <si>
    <t>V-1077</t>
  </si>
  <si>
    <t>V-1078</t>
  </si>
  <si>
    <t>V-1079</t>
  </si>
  <si>
    <t>V-1080</t>
  </si>
  <si>
    <t>Impuest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</si>
</sst>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9" formatCode="0.0%"/>
    <numFmt numFmtId="170" formatCode="_-* #,##0\ _€_-;\-* #,##0\ _€_-;_-* &quot;-&quot;\ _€_-;_-@_-"/>
  </numFmts>
  <fonts count="2" x14ac:knownFonts="1">
    <font>
      <sz val="11"/>
      <color theme="1"/>
      <name val="Aptos Narrow"/>
      <family val="2"/>
      <scheme val="minor"/>
    </font>
    <font>
      <b/>
      <sz val="11"/>
      <color rgb="FFFFFFFF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1F4E79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0" xfId="0" applyFont="1" applyFill="1" applyAlignment="1">
      <alignment horizontal="center"/>
    </xf>
    <xf numFmtId="14" fontId="0" fillId="0" borderId="0" xfId="0" applyNumberFormat="1"/>
    <xf numFmtId="169" fontId="0" fillId="0" borderId="0" xfId="0" applyNumberFormat="1"/>
    <xf numFmtId="3" fontId="0" fillId="0" borderId="0" xfId="0" applyNumberFormat="1"/>
    <xf numFmtId="170" fontId="1" fillId="2" borderId="0" xfId="0" applyNumberFormat="1" applyFont="1" applyFill="1" applyAlignment="1">
      <alignment horizontal="center"/>
    </xf>
    <xf numFmtId="170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2" Type="http://schemas.microsoft.com/office/2011/relationships/webextension" Target="webextension2.xml"/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5">
    <wetp:webextensionref xmlns:r="http://schemas.openxmlformats.org/officeDocument/2006/relationships" r:id="rId1"/>
  </wetp:taskpane>
  <wetp:taskpane dockstate="right" visibility="0" width="350" row="6">
    <wetp:webextensionref xmlns:r="http://schemas.openxmlformats.org/officeDocument/2006/relationships" r:id="rId2"/>
  </wetp:taskpane>
</wetp:taskpanes>
</file>

<file path=xl/webextensions/webextension1.xml><?xml version="1.0" encoding="utf-8"?>
<we:webextension xmlns:we="http://schemas.microsoft.com/office/webextensions/webextension/2010/11" id="{39611666-45C8-4F91-AEF3-A129587790C0}">
  <we:reference id="WA200010215" version="2.0.0.0" store="Omex" storeType="OMEX"/>
  <we:alternateReferences>
    <we:reference id="WA200010215" version="2.0.0.0" store="WA200010215" storeType="OMEX"/>
  </we:alternateReferences>
  <we:properties/>
  <we:bindings/>
  <we:snapshot xmlns:r="http://schemas.openxmlformats.org/officeDocument/2006/relationships"/>
</we:webextension>
</file>

<file path=xl/webextensions/webextension2.xml><?xml version="1.0" encoding="utf-8"?>
<we:webextension xmlns:we="http://schemas.microsoft.com/office/webextensions/webextension/2010/11" id="{361C3584-1150-4E1A-AED6-E1CFEB4A80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8527ef1-cbf4-4bbc-972d-a15eed13d64e&quot;"/>
  </we:properties>
  <we:bindings/>
  <we:snapshot xmlns:r="http://schemas.openxmlformats.org/officeDocument/2006/relationships"/>
</we:webextension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E62309-7C03-4AC0-80D7-3A4A25FAF1DD}">
  <dimension ref="D1:D2"/>
  <sheetViews>
    <sheetView workbookViewId="0">
      <selection activeCell="L15" sqref="L15"/>
    </sheetView>
  </sheetViews>
  <sheetFormatPr baseColWidth="10" defaultRowHeight="15" x14ac:dyDescent="0.25"/>
  <cols>
    <col min="1" max="1" width="10.42578125" bestFit="1" customWidth="1"/>
    <col min="2" max="2" width="8.28515625" bestFit="1" customWidth="1"/>
    <col min="3" max="3" width="9.28515625" bestFit="1" customWidth="1"/>
    <col min="4" max="4" width="13.5703125" bestFit="1" customWidth="1"/>
    <col min="5" max="5" width="12.140625" bestFit="1" customWidth="1"/>
    <col min="6" max="6" width="10.42578125" bestFit="1" customWidth="1"/>
    <col min="7" max="7" width="12.42578125" bestFit="1" customWidth="1"/>
    <col min="8" max="8" width="14" bestFit="1" customWidth="1"/>
    <col min="9" max="9" width="8.42578125" bestFit="1" customWidth="1"/>
    <col min="10" max="10" width="12.7109375" customWidth="1"/>
    <col min="11" max="11" width="19.85546875" bestFit="1" customWidth="1"/>
  </cols>
  <sheetData>
    <row r="1" spans="4:4" x14ac:dyDescent="0.25">
      <c r="D1" t="s">
        <v>115</v>
      </c>
    </row>
    <row r="2" spans="4:4" x14ac:dyDescent="0.25">
      <c r="D2">
        <v>0.19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BB2D0A-A8E3-43EF-BD93-8ABAB70BD408}">
  <dimension ref="A1:M81"/>
  <sheetViews>
    <sheetView tabSelected="1" workbookViewId="0">
      <pane ySplit="1" topLeftCell="A2" activePane="bottomLeft" state="frozen"/>
      <selection pane="bottomLeft" activeCell="L2" sqref="L2"/>
    </sheetView>
  </sheetViews>
  <sheetFormatPr baseColWidth="10" defaultRowHeight="15" x14ac:dyDescent="0.25"/>
  <cols>
    <col min="1" max="1" width="8.5703125" bestFit="1" customWidth="1"/>
    <col min="2" max="2" width="10.42578125" bestFit="1" customWidth="1"/>
    <col min="3" max="4" width="13.42578125" bestFit="1" customWidth="1"/>
    <col min="5" max="5" width="10.140625" bestFit="1" customWidth="1"/>
    <col min="6" max="6" width="23" bestFit="1" customWidth="1"/>
    <col min="7" max="7" width="11.5703125" bestFit="1" customWidth="1"/>
    <col min="8" max="8" width="9.140625" bestFit="1" customWidth="1"/>
    <col min="9" max="9" width="14.5703125" style="6" bestFit="1" customWidth="1"/>
    <col min="10" max="10" width="10.85546875" bestFit="1" customWidth="1"/>
    <col min="11" max="11" width="14.5703125" style="6" bestFit="1" customWidth="1"/>
    <col min="13" max="13" width="12" bestFit="1" customWidth="1"/>
  </cols>
  <sheetData>
    <row r="1" spans="1:13" x14ac:dyDescent="0.25">
      <c r="A1" s="1" t="s">
        <v>1</v>
      </c>
      <c r="B1" s="1" t="s">
        <v>0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5" t="s">
        <v>8</v>
      </c>
      <c r="J1" s="1" t="s">
        <v>9</v>
      </c>
      <c r="K1" s="5" t="s">
        <v>10</v>
      </c>
    </row>
    <row r="2" spans="1:13" x14ac:dyDescent="0.25">
      <c r="A2" t="s">
        <v>11</v>
      </c>
      <c r="B2" s="2">
        <v>46028</v>
      </c>
      <c r="C2" t="s">
        <v>12</v>
      </c>
      <c r="D2" t="s">
        <v>13</v>
      </c>
      <c r="E2" t="s">
        <v>14</v>
      </c>
      <c r="F2" t="s">
        <v>15</v>
      </c>
      <c r="G2" t="s">
        <v>16</v>
      </c>
      <c r="H2" s="4">
        <v>4</v>
      </c>
      <c r="I2" s="6">
        <v>520000</v>
      </c>
      <c r="J2" s="3">
        <v>0</v>
      </c>
      <c r="K2" s="6">
        <f>H2*I2*(1-J2)</f>
        <v>2080000</v>
      </c>
      <c r="L2" s="6">
        <f>K2*Parámetros!D2</f>
        <v>395200</v>
      </c>
      <c r="M2" s="6">
        <f>K2+L2</f>
        <v>2475200</v>
      </c>
    </row>
    <row r="3" spans="1:13" x14ac:dyDescent="0.25">
      <c r="A3" t="s">
        <v>17</v>
      </c>
      <c r="B3" s="2">
        <v>46029</v>
      </c>
      <c r="C3" t="s">
        <v>18</v>
      </c>
      <c r="D3" t="s">
        <v>19</v>
      </c>
      <c r="E3" t="s">
        <v>20</v>
      </c>
      <c r="F3" t="s">
        <v>21</v>
      </c>
      <c r="G3" t="s">
        <v>22</v>
      </c>
      <c r="H3" s="4">
        <v>4</v>
      </c>
      <c r="I3" s="6">
        <v>94000</v>
      </c>
      <c r="J3" s="3">
        <v>0.05</v>
      </c>
      <c r="K3" s="6">
        <f t="shared" ref="K3:K66" si="0">H3*I3*(1-J3)</f>
        <v>357200</v>
      </c>
    </row>
    <row r="4" spans="1:13" x14ac:dyDescent="0.25">
      <c r="A4" t="s">
        <v>23</v>
      </c>
      <c r="B4" s="2">
        <v>46032</v>
      </c>
      <c r="C4" t="s">
        <v>18</v>
      </c>
      <c r="D4" t="s">
        <v>24</v>
      </c>
      <c r="E4" t="s">
        <v>14</v>
      </c>
      <c r="F4" t="s">
        <v>15</v>
      </c>
      <c r="G4" t="s">
        <v>22</v>
      </c>
      <c r="H4" s="4">
        <v>8</v>
      </c>
      <c r="I4" s="6">
        <v>520000</v>
      </c>
      <c r="J4" s="3">
        <v>0.05</v>
      </c>
      <c r="K4" s="6">
        <f t="shared" si="0"/>
        <v>3952000</v>
      </c>
    </row>
    <row r="5" spans="1:13" x14ac:dyDescent="0.25">
      <c r="A5" t="s">
        <v>25</v>
      </c>
      <c r="B5" s="2">
        <v>46035</v>
      </c>
      <c r="C5" t="s">
        <v>12</v>
      </c>
      <c r="D5" t="s">
        <v>26</v>
      </c>
      <c r="E5" t="s">
        <v>20</v>
      </c>
      <c r="F5" t="s">
        <v>27</v>
      </c>
      <c r="G5" t="s">
        <v>22</v>
      </c>
      <c r="H5" s="4">
        <v>8</v>
      </c>
      <c r="I5" s="6">
        <v>760000</v>
      </c>
      <c r="J5" s="3">
        <v>0</v>
      </c>
      <c r="K5" s="6">
        <f t="shared" si="0"/>
        <v>6080000</v>
      </c>
    </row>
    <row r="6" spans="1:13" x14ac:dyDescent="0.25">
      <c r="A6" t="s">
        <v>28</v>
      </c>
      <c r="B6" s="2">
        <v>46037</v>
      </c>
      <c r="C6" t="s">
        <v>18</v>
      </c>
      <c r="D6" t="s">
        <v>26</v>
      </c>
      <c r="E6" t="s">
        <v>14</v>
      </c>
      <c r="F6" t="s">
        <v>29</v>
      </c>
      <c r="G6" t="s">
        <v>22</v>
      </c>
      <c r="H6" s="4">
        <v>2</v>
      </c>
      <c r="I6" s="6">
        <v>310000</v>
      </c>
      <c r="J6" s="3">
        <v>0.15</v>
      </c>
      <c r="K6" s="6">
        <f t="shared" si="0"/>
        <v>527000</v>
      </c>
    </row>
    <row r="7" spans="1:13" x14ac:dyDescent="0.25">
      <c r="A7" t="s">
        <v>30</v>
      </c>
      <c r="B7" s="2">
        <v>46039</v>
      </c>
      <c r="C7" t="s">
        <v>18</v>
      </c>
      <c r="D7" t="s">
        <v>26</v>
      </c>
      <c r="E7" t="s">
        <v>20</v>
      </c>
      <c r="F7" t="s">
        <v>21</v>
      </c>
      <c r="G7" t="s">
        <v>31</v>
      </c>
      <c r="H7" s="4">
        <v>5</v>
      </c>
      <c r="I7" s="6">
        <v>94000</v>
      </c>
      <c r="J7" s="3">
        <v>0</v>
      </c>
      <c r="K7" s="6">
        <f t="shared" si="0"/>
        <v>470000</v>
      </c>
    </row>
    <row r="8" spans="1:13" x14ac:dyDescent="0.25">
      <c r="A8" t="s">
        <v>32</v>
      </c>
      <c r="B8" s="2">
        <v>46042</v>
      </c>
      <c r="C8" t="s">
        <v>18</v>
      </c>
      <c r="D8" t="s">
        <v>33</v>
      </c>
      <c r="E8" t="s">
        <v>34</v>
      </c>
      <c r="F8" t="s">
        <v>35</v>
      </c>
      <c r="G8" t="s">
        <v>31</v>
      </c>
      <c r="H8" s="4">
        <v>1</v>
      </c>
      <c r="I8" s="6">
        <v>2450000</v>
      </c>
      <c r="J8" s="3">
        <v>0.05</v>
      </c>
      <c r="K8" s="6">
        <f t="shared" si="0"/>
        <v>2327500</v>
      </c>
    </row>
    <row r="9" spans="1:13" x14ac:dyDescent="0.25">
      <c r="A9" t="s">
        <v>36</v>
      </c>
      <c r="B9" s="2">
        <v>46044</v>
      </c>
      <c r="C9" t="s">
        <v>37</v>
      </c>
      <c r="D9" t="s">
        <v>26</v>
      </c>
      <c r="E9" t="s">
        <v>20</v>
      </c>
      <c r="F9" t="s">
        <v>38</v>
      </c>
      <c r="G9" t="s">
        <v>16</v>
      </c>
      <c r="H9" s="4">
        <v>3</v>
      </c>
      <c r="I9" s="6">
        <v>185000</v>
      </c>
      <c r="J9" s="3">
        <v>0.1</v>
      </c>
      <c r="K9" s="6">
        <f t="shared" si="0"/>
        <v>499500</v>
      </c>
    </row>
    <row r="10" spans="1:13" x14ac:dyDescent="0.25">
      <c r="A10" t="s">
        <v>39</v>
      </c>
      <c r="B10" s="2">
        <v>46048</v>
      </c>
      <c r="C10" t="s">
        <v>40</v>
      </c>
      <c r="D10" t="s">
        <v>13</v>
      </c>
      <c r="E10" t="s">
        <v>14</v>
      </c>
      <c r="F10" t="s">
        <v>29</v>
      </c>
      <c r="G10" t="s">
        <v>31</v>
      </c>
      <c r="H10" s="4">
        <v>11</v>
      </c>
      <c r="I10" s="6">
        <v>310000</v>
      </c>
      <c r="J10" s="3">
        <v>0.05</v>
      </c>
      <c r="K10" s="6">
        <f t="shared" si="0"/>
        <v>3239500</v>
      </c>
    </row>
    <row r="11" spans="1:13" x14ac:dyDescent="0.25">
      <c r="A11" t="s">
        <v>41</v>
      </c>
      <c r="B11" s="2">
        <v>46049</v>
      </c>
      <c r="C11" t="s">
        <v>37</v>
      </c>
      <c r="D11" t="s">
        <v>13</v>
      </c>
      <c r="E11" t="s">
        <v>34</v>
      </c>
      <c r="F11" t="s">
        <v>35</v>
      </c>
      <c r="G11" t="s">
        <v>22</v>
      </c>
      <c r="H11" s="4">
        <v>2</v>
      </c>
      <c r="I11" s="6">
        <v>2450000</v>
      </c>
      <c r="J11" s="3">
        <v>0</v>
      </c>
      <c r="K11" s="6">
        <f t="shared" si="0"/>
        <v>4900000</v>
      </c>
    </row>
    <row r="12" spans="1:13" x14ac:dyDescent="0.25">
      <c r="A12" t="s">
        <v>42</v>
      </c>
      <c r="B12" s="2">
        <v>46053</v>
      </c>
      <c r="C12" t="s">
        <v>37</v>
      </c>
      <c r="D12" t="s">
        <v>24</v>
      </c>
      <c r="E12" t="s">
        <v>14</v>
      </c>
      <c r="F12" t="s">
        <v>15</v>
      </c>
      <c r="G12" t="s">
        <v>22</v>
      </c>
      <c r="H12" s="4">
        <v>1</v>
      </c>
      <c r="I12" s="6">
        <v>520000</v>
      </c>
      <c r="J12" s="3">
        <v>0.1</v>
      </c>
      <c r="K12" s="6">
        <f t="shared" si="0"/>
        <v>468000</v>
      </c>
    </row>
    <row r="13" spans="1:13" x14ac:dyDescent="0.25">
      <c r="A13" t="s">
        <v>43</v>
      </c>
      <c r="B13" s="2">
        <v>46055</v>
      </c>
      <c r="C13" t="s">
        <v>12</v>
      </c>
      <c r="D13" t="s">
        <v>26</v>
      </c>
      <c r="E13" t="s">
        <v>14</v>
      </c>
      <c r="F13" t="s">
        <v>29</v>
      </c>
      <c r="G13" t="s">
        <v>16</v>
      </c>
      <c r="H13" s="4">
        <v>1</v>
      </c>
      <c r="I13" s="6">
        <v>310000</v>
      </c>
      <c r="J13" s="3">
        <v>0.15</v>
      </c>
      <c r="K13" s="6">
        <f t="shared" si="0"/>
        <v>263500</v>
      </c>
    </row>
    <row r="14" spans="1:13" x14ac:dyDescent="0.25">
      <c r="A14" t="s">
        <v>44</v>
      </c>
      <c r="B14" s="2">
        <v>46057</v>
      </c>
      <c r="C14" t="s">
        <v>37</v>
      </c>
      <c r="D14" t="s">
        <v>19</v>
      </c>
      <c r="E14" t="s">
        <v>14</v>
      </c>
      <c r="F14" t="s">
        <v>15</v>
      </c>
      <c r="G14" t="s">
        <v>22</v>
      </c>
      <c r="H14" s="4">
        <v>4</v>
      </c>
      <c r="I14" s="6">
        <v>520000</v>
      </c>
      <c r="J14" s="3">
        <v>0</v>
      </c>
      <c r="K14" s="6">
        <f t="shared" si="0"/>
        <v>2080000</v>
      </c>
    </row>
    <row r="15" spans="1:13" x14ac:dyDescent="0.25">
      <c r="A15" t="s">
        <v>45</v>
      </c>
      <c r="B15" s="2">
        <v>46059</v>
      </c>
      <c r="C15" t="s">
        <v>40</v>
      </c>
      <c r="D15" t="s">
        <v>33</v>
      </c>
      <c r="E15" t="s">
        <v>34</v>
      </c>
      <c r="F15" t="s">
        <v>46</v>
      </c>
      <c r="G15" t="s">
        <v>31</v>
      </c>
      <c r="H15" s="4">
        <v>1</v>
      </c>
      <c r="I15" s="6">
        <v>4200000</v>
      </c>
      <c r="J15" s="3">
        <v>0</v>
      </c>
      <c r="K15" s="6">
        <f t="shared" si="0"/>
        <v>4200000</v>
      </c>
    </row>
    <row r="16" spans="1:13" x14ac:dyDescent="0.25">
      <c r="A16" t="s">
        <v>47</v>
      </c>
      <c r="B16" s="2">
        <v>46063</v>
      </c>
      <c r="C16" t="s">
        <v>40</v>
      </c>
      <c r="D16" t="s">
        <v>26</v>
      </c>
      <c r="E16" t="s">
        <v>14</v>
      </c>
      <c r="F16" t="s">
        <v>29</v>
      </c>
      <c r="G16" t="s">
        <v>22</v>
      </c>
      <c r="H16" s="4">
        <v>7</v>
      </c>
      <c r="I16" s="6">
        <v>310000</v>
      </c>
      <c r="J16" s="3">
        <v>0.15</v>
      </c>
      <c r="K16" s="6">
        <f t="shared" si="0"/>
        <v>1844500</v>
      </c>
    </row>
    <row r="17" spans="1:11" x14ac:dyDescent="0.25">
      <c r="A17" t="s">
        <v>48</v>
      </c>
      <c r="B17" s="2">
        <v>46065</v>
      </c>
      <c r="C17" t="s">
        <v>12</v>
      </c>
      <c r="D17" t="s">
        <v>13</v>
      </c>
      <c r="E17" t="s">
        <v>34</v>
      </c>
      <c r="F17" t="s">
        <v>46</v>
      </c>
      <c r="G17" t="s">
        <v>16</v>
      </c>
      <c r="H17" s="4">
        <v>2</v>
      </c>
      <c r="I17" s="6">
        <v>4200000</v>
      </c>
      <c r="J17" s="3">
        <v>0.1</v>
      </c>
      <c r="K17" s="6">
        <f t="shared" si="0"/>
        <v>7560000</v>
      </c>
    </row>
    <row r="18" spans="1:11" x14ac:dyDescent="0.25">
      <c r="A18" t="s">
        <v>49</v>
      </c>
      <c r="B18" s="2">
        <v>46068</v>
      </c>
      <c r="C18" t="s">
        <v>40</v>
      </c>
      <c r="D18" t="s">
        <v>13</v>
      </c>
      <c r="E18" t="s">
        <v>20</v>
      </c>
      <c r="F18" t="s">
        <v>21</v>
      </c>
      <c r="G18" t="s">
        <v>22</v>
      </c>
      <c r="H18" s="4">
        <v>9</v>
      </c>
      <c r="I18" s="6">
        <v>94000</v>
      </c>
      <c r="J18" s="3">
        <v>0.05</v>
      </c>
      <c r="K18" s="6">
        <f t="shared" si="0"/>
        <v>803700</v>
      </c>
    </row>
    <row r="19" spans="1:11" x14ac:dyDescent="0.25">
      <c r="A19" t="s">
        <v>50</v>
      </c>
      <c r="B19" s="2">
        <v>46070</v>
      </c>
      <c r="C19" t="s">
        <v>37</v>
      </c>
      <c r="D19" t="s">
        <v>33</v>
      </c>
      <c r="E19" t="s">
        <v>14</v>
      </c>
      <c r="F19" t="s">
        <v>15</v>
      </c>
      <c r="G19" t="s">
        <v>22</v>
      </c>
      <c r="H19" s="4">
        <v>8</v>
      </c>
      <c r="I19" s="6">
        <v>520000</v>
      </c>
      <c r="J19" s="3">
        <v>0.15</v>
      </c>
      <c r="K19" s="6">
        <f t="shared" si="0"/>
        <v>3536000</v>
      </c>
    </row>
    <row r="20" spans="1:11" x14ac:dyDescent="0.25">
      <c r="A20" t="s">
        <v>51</v>
      </c>
      <c r="B20" s="2">
        <v>46073</v>
      </c>
      <c r="C20" t="s">
        <v>37</v>
      </c>
      <c r="D20" t="s">
        <v>13</v>
      </c>
      <c r="E20" t="s">
        <v>52</v>
      </c>
      <c r="F20" t="s">
        <v>53</v>
      </c>
      <c r="G20" t="s">
        <v>22</v>
      </c>
      <c r="H20" s="4">
        <v>7</v>
      </c>
      <c r="I20" s="6">
        <v>68000</v>
      </c>
      <c r="J20" s="3">
        <v>0</v>
      </c>
      <c r="K20" s="6">
        <f t="shared" si="0"/>
        <v>476000</v>
      </c>
    </row>
    <row r="21" spans="1:11" x14ac:dyDescent="0.25">
      <c r="A21" t="s">
        <v>54</v>
      </c>
      <c r="B21" s="2">
        <v>46075</v>
      </c>
      <c r="C21" t="s">
        <v>12</v>
      </c>
      <c r="D21" t="s">
        <v>13</v>
      </c>
      <c r="E21" t="s">
        <v>20</v>
      </c>
      <c r="F21" t="s">
        <v>38</v>
      </c>
      <c r="G21" t="s">
        <v>16</v>
      </c>
      <c r="H21" s="4">
        <v>9</v>
      </c>
      <c r="I21" s="6">
        <v>185000</v>
      </c>
      <c r="J21" s="3">
        <v>0</v>
      </c>
      <c r="K21" s="6">
        <f t="shared" si="0"/>
        <v>1665000</v>
      </c>
    </row>
    <row r="22" spans="1:11" x14ac:dyDescent="0.25">
      <c r="A22" t="s">
        <v>55</v>
      </c>
      <c r="B22" s="2">
        <v>46077</v>
      </c>
      <c r="C22" t="s">
        <v>12</v>
      </c>
      <c r="D22" t="s">
        <v>19</v>
      </c>
      <c r="E22" t="s">
        <v>34</v>
      </c>
      <c r="F22" t="s">
        <v>35</v>
      </c>
      <c r="G22" t="s">
        <v>31</v>
      </c>
      <c r="H22" s="4">
        <v>2</v>
      </c>
      <c r="I22" s="6">
        <v>2450000</v>
      </c>
      <c r="J22" s="3">
        <v>0.15</v>
      </c>
      <c r="K22" s="6">
        <f t="shared" si="0"/>
        <v>4165000</v>
      </c>
    </row>
    <row r="23" spans="1:11" x14ac:dyDescent="0.25">
      <c r="A23" t="s">
        <v>56</v>
      </c>
      <c r="B23" s="2">
        <v>46079</v>
      </c>
      <c r="C23" t="s">
        <v>18</v>
      </c>
      <c r="D23" t="s">
        <v>26</v>
      </c>
      <c r="E23" t="s">
        <v>52</v>
      </c>
      <c r="F23" t="s">
        <v>53</v>
      </c>
      <c r="G23" t="s">
        <v>16</v>
      </c>
      <c r="H23" s="4">
        <v>2</v>
      </c>
      <c r="I23" s="6">
        <v>68000</v>
      </c>
      <c r="J23" s="3">
        <v>0</v>
      </c>
      <c r="K23" s="6">
        <f t="shared" si="0"/>
        <v>136000</v>
      </c>
    </row>
    <row r="24" spans="1:11" x14ac:dyDescent="0.25">
      <c r="A24" t="s">
        <v>57</v>
      </c>
      <c r="B24" s="2">
        <v>46083</v>
      </c>
      <c r="C24" t="s">
        <v>12</v>
      </c>
      <c r="D24" t="s">
        <v>13</v>
      </c>
      <c r="E24" t="s">
        <v>14</v>
      </c>
      <c r="F24" t="s">
        <v>29</v>
      </c>
      <c r="G24" t="s">
        <v>22</v>
      </c>
      <c r="H24" s="4">
        <v>3</v>
      </c>
      <c r="I24" s="6">
        <v>310000</v>
      </c>
      <c r="J24" s="3">
        <v>0.15</v>
      </c>
      <c r="K24" s="6">
        <f t="shared" si="0"/>
        <v>790500</v>
      </c>
    </row>
    <row r="25" spans="1:11" x14ac:dyDescent="0.25">
      <c r="A25" t="s">
        <v>58</v>
      </c>
      <c r="B25" s="2">
        <v>46085</v>
      </c>
      <c r="C25" t="s">
        <v>18</v>
      </c>
      <c r="D25" t="s">
        <v>13</v>
      </c>
      <c r="E25" t="s">
        <v>34</v>
      </c>
      <c r="F25" t="s">
        <v>46</v>
      </c>
      <c r="G25" t="s">
        <v>16</v>
      </c>
      <c r="H25" s="4">
        <v>2</v>
      </c>
      <c r="I25" s="6">
        <v>4200000</v>
      </c>
      <c r="J25" s="3">
        <v>0.05</v>
      </c>
      <c r="K25" s="6">
        <f t="shared" si="0"/>
        <v>7980000</v>
      </c>
    </row>
    <row r="26" spans="1:11" x14ac:dyDescent="0.25">
      <c r="A26" t="s">
        <v>59</v>
      </c>
      <c r="B26" s="2">
        <v>46088</v>
      </c>
      <c r="C26" t="s">
        <v>40</v>
      </c>
      <c r="D26" t="s">
        <v>19</v>
      </c>
      <c r="E26" t="s">
        <v>14</v>
      </c>
      <c r="F26" t="s">
        <v>29</v>
      </c>
      <c r="G26" t="s">
        <v>16</v>
      </c>
      <c r="H26" s="4">
        <v>2</v>
      </c>
      <c r="I26" s="6">
        <v>310000</v>
      </c>
      <c r="J26" s="3">
        <v>0.05</v>
      </c>
      <c r="K26" s="6">
        <f t="shared" si="0"/>
        <v>589000</v>
      </c>
    </row>
    <row r="27" spans="1:11" x14ac:dyDescent="0.25">
      <c r="A27" t="s">
        <v>60</v>
      </c>
      <c r="B27" s="2">
        <v>46090</v>
      </c>
      <c r="C27" t="s">
        <v>12</v>
      </c>
      <c r="D27" t="s">
        <v>33</v>
      </c>
      <c r="E27" t="s">
        <v>20</v>
      </c>
      <c r="F27" t="s">
        <v>27</v>
      </c>
      <c r="G27" t="s">
        <v>31</v>
      </c>
      <c r="H27" s="4">
        <v>3</v>
      </c>
      <c r="I27" s="6">
        <v>760000</v>
      </c>
      <c r="J27" s="3">
        <v>0.1</v>
      </c>
      <c r="K27" s="6">
        <f t="shared" si="0"/>
        <v>2052000</v>
      </c>
    </row>
    <row r="28" spans="1:11" x14ac:dyDescent="0.25">
      <c r="A28" t="s">
        <v>61</v>
      </c>
      <c r="B28" s="2">
        <v>46093</v>
      </c>
      <c r="C28" t="s">
        <v>37</v>
      </c>
      <c r="D28" t="s">
        <v>26</v>
      </c>
      <c r="E28" t="s">
        <v>20</v>
      </c>
      <c r="F28" t="s">
        <v>38</v>
      </c>
      <c r="G28" t="s">
        <v>22</v>
      </c>
      <c r="H28" s="4">
        <v>6</v>
      </c>
      <c r="I28" s="6">
        <v>185000</v>
      </c>
      <c r="J28" s="3">
        <v>0</v>
      </c>
      <c r="K28" s="6">
        <f t="shared" si="0"/>
        <v>1110000</v>
      </c>
    </row>
    <row r="29" spans="1:11" x14ac:dyDescent="0.25">
      <c r="A29" t="s">
        <v>62</v>
      </c>
      <c r="B29" s="2">
        <v>46094</v>
      </c>
      <c r="C29" t="s">
        <v>37</v>
      </c>
      <c r="D29" t="s">
        <v>24</v>
      </c>
      <c r="E29" t="s">
        <v>14</v>
      </c>
      <c r="F29" t="s">
        <v>15</v>
      </c>
      <c r="G29" t="s">
        <v>22</v>
      </c>
      <c r="H29" s="4">
        <v>1</v>
      </c>
      <c r="I29" s="6">
        <v>520000</v>
      </c>
      <c r="J29" s="3">
        <v>0</v>
      </c>
      <c r="K29" s="6">
        <f t="shared" si="0"/>
        <v>520000</v>
      </c>
    </row>
    <row r="30" spans="1:11" x14ac:dyDescent="0.25">
      <c r="A30" t="s">
        <v>63</v>
      </c>
      <c r="B30" s="2">
        <v>46098</v>
      </c>
      <c r="C30" t="s">
        <v>37</v>
      </c>
      <c r="D30" t="s">
        <v>26</v>
      </c>
      <c r="E30" t="s">
        <v>20</v>
      </c>
      <c r="F30" t="s">
        <v>27</v>
      </c>
      <c r="G30" t="s">
        <v>16</v>
      </c>
      <c r="H30" s="4">
        <v>12</v>
      </c>
      <c r="I30" s="6">
        <v>760000</v>
      </c>
      <c r="J30" s="3">
        <v>0.05</v>
      </c>
      <c r="K30" s="6">
        <f t="shared" si="0"/>
        <v>8664000</v>
      </c>
    </row>
    <row r="31" spans="1:11" x14ac:dyDescent="0.25">
      <c r="A31" t="s">
        <v>64</v>
      </c>
      <c r="B31" s="2">
        <v>46100</v>
      </c>
      <c r="C31" t="s">
        <v>40</v>
      </c>
      <c r="D31" t="s">
        <v>19</v>
      </c>
      <c r="E31" t="s">
        <v>52</v>
      </c>
      <c r="F31" t="s">
        <v>53</v>
      </c>
      <c r="G31" t="s">
        <v>22</v>
      </c>
      <c r="H31" s="4">
        <v>8</v>
      </c>
      <c r="I31" s="6">
        <v>68000</v>
      </c>
      <c r="J31" s="3">
        <v>0</v>
      </c>
      <c r="K31" s="6">
        <f t="shared" si="0"/>
        <v>544000</v>
      </c>
    </row>
    <row r="32" spans="1:11" x14ac:dyDescent="0.25">
      <c r="A32" t="s">
        <v>65</v>
      </c>
      <c r="B32" s="2">
        <v>46102</v>
      </c>
      <c r="C32" t="s">
        <v>18</v>
      </c>
      <c r="D32" t="s">
        <v>24</v>
      </c>
      <c r="E32" t="s">
        <v>20</v>
      </c>
      <c r="F32" t="s">
        <v>27</v>
      </c>
      <c r="G32" t="s">
        <v>16</v>
      </c>
      <c r="H32" s="4">
        <v>8</v>
      </c>
      <c r="I32" s="6">
        <v>760000</v>
      </c>
      <c r="J32" s="3">
        <v>0.15</v>
      </c>
      <c r="K32" s="6">
        <f t="shared" si="0"/>
        <v>5168000</v>
      </c>
    </row>
    <row r="33" spans="1:11" x14ac:dyDescent="0.25">
      <c r="A33" t="s">
        <v>66</v>
      </c>
      <c r="B33" s="2">
        <v>46105</v>
      </c>
      <c r="C33" t="s">
        <v>18</v>
      </c>
      <c r="D33" t="s">
        <v>24</v>
      </c>
      <c r="E33" t="s">
        <v>34</v>
      </c>
      <c r="F33" t="s">
        <v>46</v>
      </c>
      <c r="G33" t="s">
        <v>16</v>
      </c>
      <c r="H33" s="4">
        <v>2</v>
      </c>
      <c r="I33" s="6">
        <v>4200000</v>
      </c>
      <c r="J33" s="3">
        <v>0.15</v>
      </c>
      <c r="K33" s="6">
        <f t="shared" si="0"/>
        <v>7140000</v>
      </c>
    </row>
    <row r="34" spans="1:11" x14ac:dyDescent="0.25">
      <c r="A34" t="s">
        <v>67</v>
      </c>
      <c r="B34" s="2">
        <v>46108</v>
      </c>
      <c r="C34" t="s">
        <v>12</v>
      </c>
      <c r="D34" t="s">
        <v>13</v>
      </c>
      <c r="E34" t="s">
        <v>20</v>
      </c>
      <c r="F34" t="s">
        <v>38</v>
      </c>
      <c r="G34" t="s">
        <v>22</v>
      </c>
      <c r="H34" s="4">
        <v>2</v>
      </c>
      <c r="I34" s="6">
        <v>185000</v>
      </c>
      <c r="J34" s="3">
        <v>0</v>
      </c>
      <c r="K34" s="6">
        <f t="shared" si="0"/>
        <v>370000</v>
      </c>
    </row>
    <row r="35" spans="1:11" x14ac:dyDescent="0.25">
      <c r="A35" t="s">
        <v>68</v>
      </c>
      <c r="B35" s="2">
        <v>46109</v>
      </c>
      <c r="C35" t="s">
        <v>18</v>
      </c>
      <c r="D35" t="s">
        <v>26</v>
      </c>
      <c r="E35" t="s">
        <v>52</v>
      </c>
      <c r="F35" t="s">
        <v>53</v>
      </c>
      <c r="G35" t="s">
        <v>22</v>
      </c>
      <c r="H35" s="4">
        <v>11</v>
      </c>
      <c r="I35" s="6">
        <v>68000</v>
      </c>
      <c r="J35" s="3">
        <v>0.05</v>
      </c>
      <c r="K35" s="6">
        <f t="shared" si="0"/>
        <v>710600</v>
      </c>
    </row>
    <row r="36" spans="1:11" x14ac:dyDescent="0.25">
      <c r="A36" t="s">
        <v>69</v>
      </c>
      <c r="B36" s="2">
        <v>46112</v>
      </c>
      <c r="C36" t="s">
        <v>18</v>
      </c>
      <c r="D36" t="s">
        <v>33</v>
      </c>
      <c r="E36" t="s">
        <v>14</v>
      </c>
      <c r="F36" t="s">
        <v>29</v>
      </c>
      <c r="G36" t="s">
        <v>22</v>
      </c>
      <c r="H36" s="4">
        <v>6</v>
      </c>
      <c r="I36" s="6">
        <v>310000</v>
      </c>
      <c r="J36" s="3">
        <v>0</v>
      </c>
      <c r="K36" s="6">
        <f t="shared" si="0"/>
        <v>1860000</v>
      </c>
    </row>
    <row r="37" spans="1:11" x14ac:dyDescent="0.25">
      <c r="A37" t="s">
        <v>70</v>
      </c>
      <c r="B37" s="2">
        <v>46115</v>
      </c>
      <c r="C37" t="s">
        <v>40</v>
      </c>
      <c r="D37" t="s">
        <v>33</v>
      </c>
      <c r="E37" t="s">
        <v>34</v>
      </c>
      <c r="F37" t="s">
        <v>35</v>
      </c>
      <c r="G37" t="s">
        <v>22</v>
      </c>
      <c r="H37" s="4">
        <v>2</v>
      </c>
      <c r="I37" s="6">
        <v>2450000</v>
      </c>
      <c r="J37" s="3">
        <v>0</v>
      </c>
      <c r="K37" s="6">
        <f t="shared" si="0"/>
        <v>4900000</v>
      </c>
    </row>
    <row r="38" spans="1:11" x14ac:dyDescent="0.25">
      <c r="A38" t="s">
        <v>71</v>
      </c>
      <c r="B38" s="2">
        <v>46117</v>
      </c>
      <c r="C38" t="s">
        <v>12</v>
      </c>
      <c r="D38" t="s">
        <v>24</v>
      </c>
      <c r="E38" t="s">
        <v>14</v>
      </c>
      <c r="F38" t="s">
        <v>15</v>
      </c>
      <c r="G38" t="s">
        <v>22</v>
      </c>
      <c r="H38" s="4">
        <v>12</v>
      </c>
      <c r="I38" s="6">
        <v>520000</v>
      </c>
      <c r="J38" s="3">
        <v>0.05</v>
      </c>
      <c r="K38" s="6">
        <f t="shared" si="0"/>
        <v>5928000</v>
      </c>
    </row>
    <row r="39" spans="1:11" x14ac:dyDescent="0.25">
      <c r="A39" t="s">
        <v>72</v>
      </c>
      <c r="B39" s="2">
        <v>46119</v>
      </c>
      <c r="C39" t="s">
        <v>37</v>
      </c>
      <c r="D39" t="s">
        <v>24</v>
      </c>
      <c r="E39" t="s">
        <v>34</v>
      </c>
      <c r="F39" t="s">
        <v>46</v>
      </c>
      <c r="G39" t="s">
        <v>31</v>
      </c>
      <c r="H39" s="4">
        <v>2</v>
      </c>
      <c r="I39" s="6">
        <v>4200000</v>
      </c>
      <c r="J39" s="3">
        <v>0</v>
      </c>
      <c r="K39" s="6">
        <f t="shared" si="0"/>
        <v>8400000</v>
      </c>
    </row>
    <row r="40" spans="1:11" x14ac:dyDescent="0.25">
      <c r="A40" t="s">
        <v>73</v>
      </c>
      <c r="B40" s="2">
        <v>46122</v>
      </c>
      <c r="C40" t="s">
        <v>37</v>
      </c>
      <c r="D40" t="s">
        <v>13</v>
      </c>
      <c r="E40" t="s">
        <v>34</v>
      </c>
      <c r="F40" t="s">
        <v>35</v>
      </c>
      <c r="G40" t="s">
        <v>31</v>
      </c>
      <c r="H40" s="4">
        <v>1</v>
      </c>
      <c r="I40" s="6">
        <v>2450000</v>
      </c>
      <c r="J40" s="3">
        <v>0</v>
      </c>
      <c r="K40" s="6">
        <f t="shared" si="0"/>
        <v>2450000</v>
      </c>
    </row>
    <row r="41" spans="1:11" x14ac:dyDescent="0.25">
      <c r="A41" t="s">
        <v>74</v>
      </c>
      <c r="B41" s="2">
        <v>46124</v>
      </c>
      <c r="C41" t="s">
        <v>40</v>
      </c>
      <c r="D41" t="s">
        <v>26</v>
      </c>
      <c r="E41" t="s">
        <v>52</v>
      </c>
      <c r="F41" t="s">
        <v>53</v>
      </c>
      <c r="G41" t="s">
        <v>16</v>
      </c>
      <c r="H41" s="4">
        <v>11</v>
      </c>
      <c r="I41" s="6">
        <v>68000</v>
      </c>
      <c r="J41" s="3">
        <v>0.05</v>
      </c>
      <c r="K41" s="6">
        <f t="shared" si="0"/>
        <v>710600</v>
      </c>
    </row>
    <row r="42" spans="1:11" x14ac:dyDescent="0.25">
      <c r="A42" t="s">
        <v>75</v>
      </c>
      <c r="B42" s="2">
        <v>46127</v>
      </c>
      <c r="C42" t="s">
        <v>12</v>
      </c>
      <c r="D42" t="s">
        <v>13</v>
      </c>
      <c r="E42" t="s">
        <v>20</v>
      </c>
      <c r="F42" t="s">
        <v>21</v>
      </c>
      <c r="G42" t="s">
        <v>31</v>
      </c>
      <c r="H42" s="4">
        <v>5</v>
      </c>
      <c r="I42" s="6">
        <v>94000</v>
      </c>
      <c r="J42" s="3">
        <v>0</v>
      </c>
      <c r="K42" s="6">
        <f t="shared" si="0"/>
        <v>470000</v>
      </c>
    </row>
    <row r="43" spans="1:11" x14ac:dyDescent="0.25">
      <c r="A43" t="s">
        <v>76</v>
      </c>
      <c r="B43" s="2">
        <v>46130</v>
      </c>
      <c r="C43" t="s">
        <v>12</v>
      </c>
      <c r="D43" t="s">
        <v>24</v>
      </c>
      <c r="E43" t="s">
        <v>20</v>
      </c>
      <c r="F43" t="s">
        <v>27</v>
      </c>
      <c r="G43" t="s">
        <v>31</v>
      </c>
      <c r="H43" s="4">
        <v>9</v>
      </c>
      <c r="I43" s="6">
        <v>760000</v>
      </c>
      <c r="J43" s="3">
        <v>0.05</v>
      </c>
      <c r="K43" s="6">
        <f t="shared" si="0"/>
        <v>6498000</v>
      </c>
    </row>
    <row r="44" spans="1:11" x14ac:dyDescent="0.25">
      <c r="A44" t="s">
        <v>77</v>
      </c>
      <c r="B44" s="2">
        <v>46132</v>
      </c>
      <c r="C44" t="s">
        <v>12</v>
      </c>
      <c r="D44" t="s">
        <v>13</v>
      </c>
      <c r="E44" t="s">
        <v>52</v>
      </c>
      <c r="F44" t="s">
        <v>53</v>
      </c>
      <c r="G44" t="s">
        <v>16</v>
      </c>
      <c r="H44" s="4">
        <v>1</v>
      </c>
      <c r="I44" s="6">
        <v>68000</v>
      </c>
      <c r="J44" s="3">
        <v>0</v>
      </c>
      <c r="K44" s="6">
        <f t="shared" si="0"/>
        <v>68000</v>
      </c>
    </row>
    <row r="45" spans="1:11" x14ac:dyDescent="0.25">
      <c r="A45" t="s">
        <v>78</v>
      </c>
      <c r="B45" s="2">
        <v>46134</v>
      </c>
      <c r="C45" t="s">
        <v>40</v>
      </c>
      <c r="D45" t="s">
        <v>13</v>
      </c>
      <c r="E45" t="s">
        <v>20</v>
      </c>
      <c r="F45" t="s">
        <v>38</v>
      </c>
      <c r="G45" t="s">
        <v>16</v>
      </c>
      <c r="H45" s="4">
        <v>11</v>
      </c>
      <c r="I45" s="6">
        <v>185000</v>
      </c>
      <c r="J45" s="3">
        <v>0.05</v>
      </c>
      <c r="K45" s="6">
        <f t="shared" si="0"/>
        <v>1933250</v>
      </c>
    </row>
    <row r="46" spans="1:11" x14ac:dyDescent="0.25">
      <c r="A46" t="s">
        <v>79</v>
      </c>
      <c r="B46" s="2">
        <v>46138</v>
      </c>
      <c r="C46" t="s">
        <v>37</v>
      </c>
      <c r="D46" t="s">
        <v>13</v>
      </c>
      <c r="E46" t="s">
        <v>52</v>
      </c>
      <c r="F46" t="s">
        <v>53</v>
      </c>
      <c r="G46" t="s">
        <v>22</v>
      </c>
      <c r="H46" s="4">
        <v>6</v>
      </c>
      <c r="I46" s="6">
        <v>68000</v>
      </c>
      <c r="J46" s="3">
        <v>0</v>
      </c>
      <c r="K46" s="6">
        <f t="shared" si="0"/>
        <v>408000</v>
      </c>
    </row>
    <row r="47" spans="1:11" x14ac:dyDescent="0.25">
      <c r="A47" t="s">
        <v>80</v>
      </c>
      <c r="B47" s="2">
        <v>46140</v>
      </c>
      <c r="C47" t="s">
        <v>18</v>
      </c>
      <c r="D47" t="s">
        <v>19</v>
      </c>
      <c r="E47" t="s">
        <v>14</v>
      </c>
      <c r="F47" t="s">
        <v>29</v>
      </c>
      <c r="G47" t="s">
        <v>31</v>
      </c>
      <c r="H47" s="4">
        <v>10</v>
      </c>
      <c r="I47" s="6">
        <v>310000</v>
      </c>
      <c r="J47" s="3">
        <v>0</v>
      </c>
      <c r="K47" s="6">
        <f t="shared" si="0"/>
        <v>3100000</v>
      </c>
    </row>
    <row r="48" spans="1:11" x14ac:dyDescent="0.25">
      <c r="A48" t="s">
        <v>81</v>
      </c>
      <c r="B48" s="2">
        <v>46142</v>
      </c>
      <c r="C48" t="s">
        <v>37</v>
      </c>
      <c r="D48" t="s">
        <v>24</v>
      </c>
      <c r="E48" t="s">
        <v>20</v>
      </c>
      <c r="F48" t="s">
        <v>27</v>
      </c>
      <c r="G48" t="s">
        <v>22</v>
      </c>
      <c r="H48" s="4">
        <v>4</v>
      </c>
      <c r="I48" s="6">
        <v>760000</v>
      </c>
      <c r="J48" s="3">
        <v>0</v>
      </c>
      <c r="K48" s="6">
        <f t="shared" si="0"/>
        <v>3040000</v>
      </c>
    </row>
    <row r="49" spans="1:11" x14ac:dyDescent="0.25">
      <c r="A49" t="s">
        <v>82</v>
      </c>
      <c r="B49" s="2">
        <v>46144</v>
      </c>
      <c r="C49" t="s">
        <v>37</v>
      </c>
      <c r="D49" t="s">
        <v>33</v>
      </c>
      <c r="E49" t="s">
        <v>34</v>
      </c>
      <c r="F49" t="s">
        <v>46</v>
      </c>
      <c r="G49" t="s">
        <v>31</v>
      </c>
      <c r="H49" s="4">
        <v>2</v>
      </c>
      <c r="I49" s="6">
        <v>4200000</v>
      </c>
      <c r="J49" s="3">
        <v>0</v>
      </c>
      <c r="K49" s="6">
        <f t="shared" si="0"/>
        <v>8400000</v>
      </c>
    </row>
    <row r="50" spans="1:11" x14ac:dyDescent="0.25">
      <c r="A50" t="s">
        <v>83</v>
      </c>
      <c r="B50" s="2">
        <v>46147</v>
      </c>
      <c r="C50" t="s">
        <v>40</v>
      </c>
      <c r="D50" t="s">
        <v>24</v>
      </c>
      <c r="E50" t="s">
        <v>20</v>
      </c>
      <c r="F50" t="s">
        <v>27</v>
      </c>
      <c r="G50" t="s">
        <v>31</v>
      </c>
      <c r="H50" s="4">
        <v>3</v>
      </c>
      <c r="I50" s="6">
        <v>760000</v>
      </c>
      <c r="J50" s="3">
        <v>0</v>
      </c>
      <c r="K50" s="6">
        <f t="shared" si="0"/>
        <v>2280000</v>
      </c>
    </row>
    <row r="51" spans="1:11" x14ac:dyDescent="0.25">
      <c r="A51" t="s">
        <v>84</v>
      </c>
      <c r="B51" s="2">
        <v>46149</v>
      </c>
      <c r="C51" t="s">
        <v>18</v>
      </c>
      <c r="D51" t="s">
        <v>26</v>
      </c>
      <c r="E51" t="s">
        <v>20</v>
      </c>
      <c r="F51" t="s">
        <v>27</v>
      </c>
      <c r="G51" t="s">
        <v>16</v>
      </c>
      <c r="H51" s="4">
        <v>8</v>
      </c>
      <c r="I51" s="6">
        <v>760000</v>
      </c>
      <c r="J51" s="3">
        <v>0</v>
      </c>
      <c r="K51" s="6">
        <f t="shared" si="0"/>
        <v>6080000</v>
      </c>
    </row>
    <row r="52" spans="1:11" x14ac:dyDescent="0.25">
      <c r="A52" t="s">
        <v>85</v>
      </c>
      <c r="B52" s="2">
        <v>46152</v>
      </c>
      <c r="C52" t="s">
        <v>37</v>
      </c>
      <c r="D52" t="s">
        <v>13</v>
      </c>
      <c r="E52" t="s">
        <v>14</v>
      </c>
      <c r="F52" t="s">
        <v>15</v>
      </c>
      <c r="G52" t="s">
        <v>31</v>
      </c>
      <c r="H52" s="4">
        <v>1</v>
      </c>
      <c r="I52" s="6">
        <v>520000</v>
      </c>
      <c r="J52" s="3">
        <v>0.05</v>
      </c>
      <c r="K52" s="6">
        <f t="shared" si="0"/>
        <v>494000</v>
      </c>
    </row>
    <row r="53" spans="1:11" x14ac:dyDescent="0.25">
      <c r="A53" t="s">
        <v>86</v>
      </c>
      <c r="B53" s="2">
        <v>46154</v>
      </c>
      <c r="C53" t="s">
        <v>18</v>
      </c>
      <c r="D53" t="s">
        <v>33</v>
      </c>
      <c r="E53" t="s">
        <v>20</v>
      </c>
      <c r="F53" t="s">
        <v>27</v>
      </c>
      <c r="G53" t="s">
        <v>22</v>
      </c>
      <c r="H53" s="4">
        <v>10</v>
      </c>
      <c r="I53" s="6">
        <v>760000</v>
      </c>
      <c r="J53" s="3">
        <v>0</v>
      </c>
      <c r="K53" s="6">
        <f t="shared" si="0"/>
        <v>7600000</v>
      </c>
    </row>
    <row r="54" spans="1:11" x14ac:dyDescent="0.25">
      <c r="A54" t="s">
        <v>87</v>
      </c>
      <c r="B54" s="2">
        <v>46157</v>
      </c>
      <c r="C54" t="s">
        <v>12</v>
      </c>
      <c r="D54" t="s">
        <v>26</v>
      </c>
      <c r="E54" t="s">
        <v>34</v>
      </c>
      <c r="F54" t="s">
        <v>46</v>
      </c>
      <c r="G54" t="s">
        <v>22</v>
      </c>
      <c r="H54" s="4">
        <v>1</v>
      </c>
      <c r="I54" s="6">
        <v>4200000</v>
      </c>
      <c r="J54" s="3">
        <v>0</v>
      </c>
      <c r="K54" s="6">
        <f t="shared" si="0"/>
        <v>4200000</v>
      </c>
    </row>
    <row r="55" spans="1:11" x14ac:dyDescent="0.25">
      <c r="A55" t="s">
        <v>88</v>
      </c>
      <c r="B55" s="2">
        <v>46160</v>
      </c>
      <c r="C55" t="s">
        <v>37</v>
      </c>
      <c r="D55" t="s">
        <v>13</v>
      </c>
      <c r="E55" t="s">
        <v>34</v>
      </c>
      <c r="F55" t="s">
        <v>35</v>
      </c>
      <c r="G55" t="s">
        <v>16</v>
      </c>
      <c r="H55" s="4">
        <v>1</v>
      </c>
      <c r="I55" s="6">
        <v>2450000</v>
      </c>
      <c r="J55" s="3">
        <v>0.1</v>
      </c>
      <c r="K55" s="6">
        <f t="shared" si="0"/>
        <v>2205000</v>
      </c>
    </row>
    <row r="56" spans="1:11" x14ac:dyDescent="0.25">
      <c r="A56" t="s">
        <v>89</v>
      </c>
      <c r="B56" s="2">
        <v>46163</v>
      </c>
      <c r="C56" t="s">
        <v>18</v>
      </c>
      <c r="D56" t="s">
        <v>26</v>
      </c>
      <c r="E56" t="s">
        <v>34</v>
      </c>
      <c r="F56" t="s">
        <v>46</v>
      </c>
      <c r="G56" t="s">
        <v>16</v>
      </c>
      <c r="H56" s="4">
        <v>2</v>
      </c>
      <c r="I56" s="6">
        <v>4200000</v>
      </c>
      <c r="J56" s="3">
        <v>0.05</v>
      </c>
      <c r="K56" s="6">
        <f t="shared" si="0"/>
        <v>7980000</v>
      </c>
    </row>
    <row r="57" spans="1:11" x14ac:dyDescent="0.25">
      <c r="A57" t="s">
        <v>90</v>
      </c>
      <c r="B57" s="2">
        <v>46165</v>
      </c>
      <c r="C57" t="s">
        <v>12</v>
      </c>
      <c r="D57" t="s">
        <v>13</v>
      </c>
      <c r="E57" t="s">
        <v>20</v>
      </c>
      <c r="F57" t="s">
        <v>38</v>
      </c>
      <c r="G57" t="s">
        <v>22</v>
      </c>
      <c r="H57" s="4">
        <v>10</v>
      </c>
      <c r="I57" s="6">
        <v>185000</v>
      </c>
      <c r="J57" s="3">
        <v>0.05</v>
      </c>
      <c r="K57" s="6">
        <f t="shared" si="0"/>
        <v>1757500</v>
      </c>
    </row>
    <row r="58" spans="1:11" x14ac:dyDescent="0.25">
      <c r="A58" t="s">
        <v>91</v>
      </c>
      <c r="B58" s="2">
        <v>46168</v>
      </c>
      <c r="C58" t="s">
        <v>18</v>
      </c>
      <c r="D58" t="s">
        <v>24</v>
      </c>
      <c r="E58" t="s">
        <v>14</v>
      </c>
      <c r="F58" t="s">
        <v>29</v>
      </c>
      <c r="G58" t="s">
        <v>22</v>
      </c>
      <c r="H58" s="4">
        <v>10</v>
      </c>
      <c r="I58" s="6">
        <v>310000</v>
      </c>
      <c r="J58" s="3">
        <v>0.05</v>
      </c>
      <c r="K58" s="6">
        <f t="shared" si="0"/>
        <v>2945000</v>
      </c>
    </row>
    <row r="59" spans="1:11" x14ac:dyDescent="0.25">
      <c r="A59" t="s">
        <v>92</v>
      </c>
      <c r="B59" s="2">
        <v>46170</v>
      </c>
      <c r="C59" t="s">
        <v>18</v>
      </c>
      <c r="D59" t="s">
        <v>24</v>
      </c>
      <c r="E59" t="s">
        <v>34</v>
      </c>
      <c r="F59" t="s">
        <v>46</v>
      </c>
      <c r="G59" t="s">
        <v>31</v>
      </c>
      <c r="H59" s="4">
        <v>2</v>
      </c>
      <c r="I59" s="6">
        <v>4200000</v>
      </c>
      <c r="J59" s="3">
        <v>0.05</v>
      </c>
      <c r="K59" s="6">
        <f t="shared" si="0"/>
        <v>7980000</v>
      </c>
    </row>
    <row r="60" spans="1:11" x14ac:dyDescent="0.25">
      <c r="A60" t="s">
        <v>93</v>
      </c>
      <c r="B60" s="2">
        <v>46172</v>
      </c>
      <c r="C60" t="s">
        <v>18</v>
      </c>
      <c r="D60" t="s">
        <v>13</v>
      </c>
      <c r="E60" t="s">
        <v>14</v>
      </c>
      <c r="F60" t="s">
        <v>29</v>
      </c>
      <c r="G60" t="s">
        <v>16</v>
      </c>
      <c r="H60" s="4">
        <v>7</v>
      </c>
      <c r="I60" s="6">
        <v>310000</v>
      </c>
      <c r="J60" s="3">
        <v>0</v>
      </c>
      <c r="K60" s="6">
        <f t="shared" si="0"/>
        <v>2170000</v>
      </c>
    </row>
    <row r="61" spans="1:11" x14ac:dyDescent="0.25">
      <c r="A61" t="s">
        <v>94</v>
      </c>
      <c r="B61" s="2">
        <v>46174</v>
      </c>
      <c r="C61" t="s">
        <v>37</v>
      </c>
      <c r="D61" t="s">
        <v>33</v>
      </c>
      <c r="E61" t="s">
        <v>20</v>
      </c>
      <c r="F61" t="s">
        <v>21</v>
      </c>
      <c r="G61" t="s">
        <v>31</v>
      </c>
      <c r="H61" s="4">
        <v>11</v>
      </c>
      <c r="I61" s="6">
        <v>94000</v>
      </c>
      <c r="J61" s="3">
        <v>0</v>
      </c>
      <c r="K61" s="6">
        <f t="shared" si="0"/>
        <v>1034000</v>
      </c>
    </row>
    <row r="62" spans="1:11" x14ac:dyDescent="0.25">
      <c r="A62" t="s">
        <v>95</v>
      </c>
      <c r="B62" s="2">
        <v>46178</v>
      </c>
      <c r="C62" t="s">
        <v>18</v>
      </c>
      <c r="D62" t="s">
        <v>19</v>
      </c>
      <c r="E62" t="s">
        <v>34</v>
      </c>
      <c r="F62" t="s">
        <v>35</v>
      </c>
      <c r="G62" t="s">
        <v>22</v>
      </c>
      <c r="H62" s="4">
        <v>2</v>
      </c>
      <c r="I62" s="6">
        <v>2450000</v>
      </c>
      <c r="J62" s="3">
        <v>0.05</v>
      </c>
      <c r="K62" s="6">
        <f t="shared" si="0"/>
        <v>4655000</v>
      </c>
    </row>
    <row r="63" spans="1:11" x14ac:dyDescent="0.25">
      <c r="A63" t="s">
        <v>96</v>
      </c>
      <c r="B63" s="2">
        <v>46180</v>
      </c>
      <c r="C63" t="s">
        <v>37</v>
      </c>
      <c r="D63" t="s">
        <v>13</v>
      </c>
      <c r="E63" t="s">
        <v>52</v>
      </c>
      <c r="F63" t="s">
        <v>53</v>
      </c>
      <c r="G63" t="s">
        <v>31</v>
      </c>
      <c r="H63" s="4">
        <v>4</v>
      </c>
      <c r="I63" s="6">
        <v>68000</v>
      </c>
      <c r="J63" s="3">
        <v>0</v>
      </c>
      <c r="K63" s="6">
        <f t="shared" si="0"/>
        <v>272000</v>
      </c>
    </row>
    <row r="64" spans="1:11" x14ac:dyDescent="0.25">
      <c r="A64" t="s">
        <v>97</v>
      </c>
      <c r="B64" s="2">
        <v>46182</v>
      </c>
      <c r="C64" t="s">
        <v>18</v>
      </c>
      <c r="D64" t="s">
        <v>26</v>
      </c>
      <c r="E64" t="s">
        <v>52</v>
      </c>
      <c r="F64" t="s">
        <v>53</v>
      </c>
      <c r="G64" t="s">
        <v>22</v>
      </c>
      <c r="H64" s="4">
        <v>1</v>
      </c>
      <c r="I64" s="6">
        <v>68000</v>
      </c>
      <c r="J64" s="3">
        <v>0.1</v>
      </c>
      <c r="K64" s="6">
        <f t="shared" si="0"/>
        <v>61200</v>
      </c>
    </row>
    <row r="65" spans="1:11" x14ac:dyDescent="0.25">
      <c r="A65" t="s">
        <v>98</v>
      </c>
      <c r="B65" s="2">
        <v>46185</v>
      </c>
      <c r="C65" t="s">
        <v>18</v>
      </c>
      <c r="D65" t="s">
        <v>33</v>
      </c>
      <c r="E65" t="s">
        <v>14</v>
      </c>
      <c r="F65" t="s">
        <v>15</v>
      </c>
      <c r="G65" t="s">
        <v>31</v>
      </c>
      <c r="H65" s="4">
        <v>11</v>
      </c>
      <c r="I65" s="6">
        <v>520000</v>
      </c>
      <c r="J65" s="3">
        <v>0.15</v>
      </c>
      <c r="K65" s="6">
        <f t="shared" si="0"/>
        <v>4862000</v>
      </c>
    </row>
    <row r="66" spans="1:11" x14ac:dyDescent="0.25">
      <c r="A66" t="s">
        <v>99</v>
      </c>
      <c r="B66" s="2">
        <v>46188</v>
      </c>
      <c r="C66" t="s">
        <v>18</v>
      </c>
      <c r="D66" t="s">
        <v>13</v>
      </c>
      <c r="E66" t="s">
        <v>14</v>
      </c>
      <c r="F66" t="s">
        <v>29</v>
      </c>
      <c r="G66" t="s">
        <v>16</v>
      </c>
      <c r="H66" s="4">
        <v>4</v>
      </c>
      <c r="I66" s="6">
        <v>310000</v>
      </c>
      <c r="J66" s="3">
        <v>0</v>
      </c>
      <c r="K66" s="6">
        <f t="shared" si="0"/>
        <v>1240000</v>
      </c>
    </row>
    <row r="67" spans="1:11" x14ac:dyDescent="0.25">
      <c r="A67" t="s">
        <v>100</v>
      </c>
      <c r="B67" s="2">
        <v>46190</v>
      </c>
      <c r="C67" t="s">
        <v>12</v>
      </c>
      <c r="D67" t="s">
        <v>19</v>
      </c>
      <c r="E67" t="s">
        <v>20</v>
      </c>
      <c r="F67" t="s">
        <v>38</v>
      </c>
      <c r="G67" t="s">
        <v>22</v>
      </c>
      <c r="H67" s="4">
        <v>11</v>
      </c>
      <c r="I67" s="6">
        <v>185000</v>
      </c>
      <c r="J67" s="3">
        <v>0</v>
      </c>
      <c r="K67" s="6">
        <f t="shared" ref="K67:K81" si="1">H67*I67*(1-J67)</f>
        <v>2035000</v>
      </c>
    </row>
    <row r="68" spans="1:11" x14ac:dyDescent="0.25">
      <c r="A68" t="s">
        <v>101</v>
      </c>
      <c r="B68" s="2">
        <v>46192</v>
      </c>
      <c r="C68" t="s">
        <v>40</v>
      </c>
      <c r="D68" t="s">
        <v>33</v>
      </c>
      <c r="E68" t="s">
        <v>20</v>
      </c>
      <c r="F68" t="s">
        <v>27</v>
      </c>
      <c r="G68" t="s">
        <v>31</v>
      </c>
      <c r="H68" s="4">
        <v>11</v>
      </c>
      <c r="I68" s="6">
        <v>760000</v>
      </c>
      <c r="J68" s="3">
        <v>0.05</v>
      </c>
      <c r="K68" s="6">
        <f t="shared" si="1"/>
        <v>7942000</v>
      </c>
    </row>
    <row r="69" spans="1:11" x14ac:dyDescent="0.25">
      <c r="A69" t="s">
        <v>102</v>
      </c>
      <c r="B69" s="2">
        <v>46195</v>
      </c>
      <c r="C69" t="s">
        <v>37</v>
      </c>
      <c r="D69" t="s">
        <v>24</v>
      </c>
      <c r="E69" t="s">
        <v>34</v>
      </c>
      <c r="F69" t="s">
        <v>35</v>
      </c>
      <c r="G69" t="s">
        <v>22</v>
      </c>
      <c r="H69" s="4">
        <v>2</v>
      </c>
      <c r="I69" s="6">
        <v>2450000</v>
      </c>
      <c r="J69" s="3">
        <v>0</v>
      </c>
      <c r="K69" s="6">
        <f t="shared" si="1"/>
        <v>4900000</v>
      </c>
    </row>
    <row r="70" spans="1:11" x14ac:dyDescent="0.25">
      <c r="A70" t="s">
        <v>103</v>
      </c>
      <c r="B70" s="2">
        <v>46197</v>
      </c>
      <c r="C70" t="s">
        <v>40</v>
      </c>
      <c r="D70" t="s">
        <v>19</v>
      </c>
      <c r="E70" t="s">
        <v>20</v>
      </c>
      <c r="F70" t="s">
        <v>21</v>
      </c>
      <c r="G70" t="s">
        <v>22</v>
      </c>
      <c r="H70" s="4">
        <v>8</v>
      </c>
      <c r="I70" s="6">
        <v>94000</v>
      </c>
      <c r="J70" s="3">
        <v>0.05</v>
      </c>
      <c r="K70" s="6">
        <f t="shared" si="1"/>
        <v>714400</v>
      </c>
    </row>
    <row r="71" spans="1:11" x14ac:dyDescent="0.25">
      <c r="A71" t="s">
        <v>104</v>
      </c>
      <c r="B71" s="2">
        <v>46200</v>
      </c>
      <c r="C71" t="s">
        <v>12</v>
      </c>
      <c r="D71" t="s">
        <v>19</v>
      </c>
      <c r="E71" t="s">
        <v>14</v>
      </c>
      <c r="F71" t="s">
        <v>15</v>
      </c>
      <c r="G71" t="s">
        <v>22</v>
      </c>
      <c r="H71" s="4">
        <v>7</v>
      </c>
      <c r="I71" s="6">
        <v>520000</v>
      </c>
      <c r="J71" s="3">
        <v>0.05</v>
      </c>
      <c r="K71" s="6">
        <f t="shared" si="1"/>
        <v>3458000</v>
      </c>
    </row>
    <row r="72" spans="1:11" x14ac:dyDescent="0.25">
      <c r="A72" t="s">
        <v>105</v>
      </c>
      <c r="B72" s="2">
        <v>46203</v>
      </c>
      <c r="C72" t="s">
        <v>18</v>
      </c>
      <c r="D72" t="s">
        <v>13</v>
      </c>
      <c r="E72" t="s">
        <v>34</v>
      </c>
      <c r="F72" t="s">
        <v>46</v>
      </c>
      <c r="G72" t="s">
        <v>31</v>
      </c>
      <c r="H72" s="4">
        <v>2</v>
      </c>
      <c r="I72" s="6">
        <v>4200000</v>
      </c>
      <c r="J72" s="3">
        <v>0.1</v>
      </c>
      <c r="K72" s="6">
        <f t="shared" si="1"/>
        <v>7560000</v>
      </c>
    </row>
    <row r="73" spans="1:11" x14ac:dyDescent="0.25">
      <c r="A73" t="s">
        <v>106</v>
      </c>
      <c r="B73" s="2">
        <v>46204</v>
      </c>
      <c r="C73" t="s">
        <v>12</v>
      </c>
      <c r="D73" t="s">
        <v>24</v>
      </c>
      <c r="E73" t="s">
        <v>52</v>
      </c>
      <c r="F73" t="s">
        <v>53</v>
      </c>
      <c r="G73" t="s">
        <v>16</v>
      </c>
      <c r="H73" s="4">
        <v>1</v>
      </c>
      <c r="I73" s="6">
        <v>68000</v>
      </c>
      <c r="J73" s="3">
        <v>0.15</v>
      </c>
      <c r="K73" s="6">
        <f t="shared" si="1"/>
        <v>57800</v>
      </c>
    </row>
    <row r="74" spans="1:11" x14ac:dyDescent="0.25">
      <c r="A74" t="s">
        <v>107</v>
      </c>
      <c r="B74" s="2">
        <v>46207</v>
      </c>
      <c r="C74" t="s">
        <v>37</v>
      </c>
      <c r="D74" t="s">
        <v>33</v>
      </c>
      <c r="E74" t="s">
        <v>34</v>
      </c>
      <c r="F74" t="s">
        <v>35</v>
      </c>
      <c r="G74" t="s">
        <v>31</v>
      </c>
      <c r="H74" s="4">
        <v>2</v>
      </c>
      <c r="I74" s="6">
        <v>2450000</v>
      </c>
      <c r="J74" s="3">
        <v>0</v>
      </c>
      <c r="K74" s="6">
        <f t="shared" si="1"/>
        <v>4900000</v>
      </c>
    </row>
    <row r="75" spans="1:11" x14ac:dyDescent="0.25">
      <c r="A75" t="s">
        <v>108</v>
      </c>
      <c r="B75" s="2">
        <v>46209</v>
      </c>
      <c r="C75" t="s">
        <v>18</v>
      </c>
      <c r="D75" t="s">
        <v>13</v>
      </c>
      <c r="E75" t="s">
        <v>20</v>
      </c>
      <c r="F75" t="s">
        <v>27</v>
      </c>
      <c r="G75" t="s">
        <v>31</v>
      </c>
      <c r="H75" s="4">
        <v>11</v>
      </c>
      <c r="I75" s="6">
        <v>760000</v>
      </c>
      <c r="J75" s="3">
        <v>0</v>
      </c>
      <c r="K75" s="6">
        <f t="shared" si="1"/>
        <v>8360000</v>
      </c>
    </row>
    <row r="76" spans="1:11" x14ac:dyDescent="0.25">
      <c r="A76" t="s">
        <v>109</v>
      </c>
      <c r="B76" s="2">
        <v>46212</v>
      </c>
      <c r="C76" t="s">
        <v>40</v>
      </c>
      <c r="D76" t="s">
        <v>26</v>
      </c>
      <c r="E76" t="s">
        <v>14</v>
      </c>
      <c r="F76" t="s">
        <v>29</v>
      </c>
      <c r="G76" t="s">
        <v>22</v>
      </c>
      <c r="H76" s="4">
        <v>3</v>
      </c>
      <c r="I76" s="6">
        <v>310000</v>
      </c>
      <c r="J76" s="3">
        <v>0.05</v>
      </c>
      <c r="K76" s="6">
        <f t="shared" si="1"/>
        <v>883500</v>
      </c>
    </row>
    <row r="77" spans="1:11" x14ac:dyDescent="0.25">
      <c r="A77" t="s">
        <v>110</v>
      </c>
      <c r="B77" s="2">
        <v>46215</v>
      </c>
      <c r="C77" t="s">
        <v>12</v>
      </c>
      <c r="D77" t="s">
        <v>13</v>
      </c>
      <c r="E77" t="s">
        <v>20</v>
      </c>
      <c r="F77" t="s">
        <v>38</v>
      </c>
      <c r="G77" t="s">
        <v>22</v>
      </c>
      <c r="H77" s="4">
        <v>3</v>
      </c>
      <c r="I77" s="6">
        <v>185000</v>
      </c>
      <c r="J77" s="3">
        <v>0</v>
      </c>
      <c r="K77" s="6">
        <f t="shared" si="1"/>
        <v>555000</v>
      </c>
    </row>
    <row r="78" spans="1:11" x14ac:dyDescent="0.25">
      <c r="A78" t="s">
        <v>111</v>
      </c>
      <c r="B78" s="2">
        <v>46218</v>
      </c>
      <c r="C78" t="s">
        <v>37</v>
      </c>
      <c r="D78" t="s">
        <v>26</v>
      </c>
      <c r="E78" t="s">
        <v>20</v>
      </c>
      <c r="F78" t="s">
        <v>27</v>
      </c>
      <c r="G78" t="s">
        <v>22</v>
      </c>
      <c r="H78" s="4">
        <v>12</v>
      </c>
      <c r="I78" s="6">
        <v>760000</v>
      </c>
      <c r="J78" s="3">
        <v>0.1</v>
      </c>
      <c r="K78" s="6">
        <f t="shared" si="1"/>
        <v>8208000</v>
      </c>
    </row>
    <row r="79" spans="1:11" x14ac:dyDescent="0.25">
      <c r="A79" t="s">
        <v>112</v>
      </c>
      <c r="B79" s="2">
        <v>46220</v>
      </c>
      <c r="C79" t="s">
        <v>40</v>
      </c>
      <c r="D79" t="s">
        <v>19</v>
      </c>
      <c r="E79" t="s">
        <v>14</v>
      </c>
      <c r="F79" t="s">
        <v>15</v>
      </c>
      <c r="G79" t="s">
        <v>31</v>
      </c>
      <c r="H79" s="4">
        <v>2</v>
      </c>
      <c r="I79" s="6">
        <v>520000</v>
      </c>
      <c r="J79" s="3">
        <v>0</v>
      </c>
      <c r="K79" s="6">
        <f t="shared" si="1"/>
        <v>1040000</v>
      </c>
    </row>
    <row r="80" spans="1:11" x14ac:dyDescent="0.25">
      <c r="A80" t="s">
        <v>113</v>
      </c>
      <c r="B80" s="2">
        <v>46222</v>
      </c>
      <c r="C80" t="s">
        <v>12</v>
      </c>
      <c r="D80" t="s">
        <v>26</v>
      </c>
      <c r="E80" t="s">
        <v>14</v>
      </c>
      <c r="F80" t="s">
        <v>29</v>
      </c>
      <c r="G80" t="s">
        <v>31</v>
      </c>
      <c r="H80" s="4">
        <v>8</v>
      </c>
      <c r="I80" s="6">
        <v>310000</v>
      </c>
      <c r="J80" s="3">
        <v>0</v>
      </c>
      <c r="K80" s="6">
        <f t="shared" si="1"/>
        <v>2480000</v>
      </c>
    </row>
    <row r="81" spans="1:11" x14ac:dyDescent="0.25">
      <c r="A81" t="s">
        <v>114</v>
      </c>
      <c r="B81" s="2">
        <v>46224</v>
      </c>
      <c r="C81" t="s">
        <v>40</v>
      </c>
      <c r="D81" t="s">
        <v>19</v>
      </c>
      <c r="E81" t="s">
        <v>20</v>
      </c>
      <c r="F81" t="s">
        <v>21</v>
      </c>
      <c r="G81" t="s">
        <v>22</v>
      </c>
      <c r="H81" s="4">
        <v>6</v>
      </c>
      <c r="I81" s="6">
        <v>94000</v>
      </c>
      <c r="J81" s="3">
        <v>0.15</v>
      </c>
      <c r="K81" s="6">
        <f t="shared" si="1"/>
        <v>479400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Parámetros</vt:lpstr>
      <vt:lpstr>Ventas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Ingrid Marina Solís</dc:creator>
  <cp:lastModifiedBy>Ingrid Marina Solís</cp:lastModifiedBy>
  <dcterms:created xsi:type="dcterms:W3CDTF">2026-09-11T21:39:54Z</dcterms:created>
  <dcterms:modified xsi:type="dcterms:W3CDTF">2026-09-14T13:27:14Z</dcterms:modified>
</cp:coreProperties>
</file>