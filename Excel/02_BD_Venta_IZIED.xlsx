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13_ncr:1_{19610C34-3D21-4C8B-B281-C1E523214893}" xr6:coauthVersionLast="47" xr6:coauthVersionMax="47" xr10:uidLastSave="{00000000-0000-0000-0000-000000000000}"/>
  <bookViews>
    <workbookView xWindow="-108" yWindow="-108" windowWidth="20376" windowHeight="11640" activeTab="4" xr2:uid="{AF714EF7-3D0F-49B7-815C-B9007B2E34CE}"/>
  </bookViews>
  <sheets>
    <sheet name="Parámetros" sheetId="1" r:id="rId1"/>
    <sheet name="Hoja3" sheetId="3" r:id="rId2"/>
    <sheet name="Hoja4" sheetId="4" r:id="rId3"/>
    <sheet name="Hoja5" sheetId="5" r:id="rId4"/>
    <sheet name="Hoja6" sheetId="6" r:id="rId5"/>
    <sheet name="Ventas" sheetId="2" r:id="rId6"/>
  </sheets>
  <calcPr calcId="191029"/>
  <pivotCaches>
    <pivotCache cacheId="19" r:id="rId7"/>
    <pivotCache cacheId="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6" l="1"/>
  <c r="B4" i="5"/>
  <c r="J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2" i="2"/>
</calcChain>
</file>

<file path=xl/sharedStrings.xml><?xml version="1.0" encoding="utf-8"?>
<sst xmlns="http://schemas.openxmlformats.org/spreadsheetml/2006/main" count="536" uniqueCount="136">
  <si>
    <t>Fecha</t>
  </si>
  <si>
    <t>ID Venta</t>
  </si>
  <si>
    <t>Región</t>
  </si>
  <si>
    <t>Vendedor</t>
  </si>
  <si>
    <t>Categoría</t>
  </si>
  <si>
    <t>Producto</t>
  </si>
  <si>
    <t>Canal</t>
  </si>
  <si>
    <t>Cantidad</t>
  </si>
  <si>
    <t>Precio unitario</t>
  </si>
  <si>
    <t>Descuento</t>
  </si>
  <si>
    <t>Venta neta</t>
  </si>
  <si>
    <t>V-1001</t>
  </si>
  <si>
    <t>Biobío</t>
  </si>
  <si>
    <t>María Fuentes</t>
  </si>
  <si>
    <t>Servicios</t>
  </si>
  <si>
    <t>Mantención preventiva</t>
  </si>
  <si>
    <t>Directo</t>
  </si>
  <si>
    <t>V-1002</t>
  </si>
  <si>
    <t>Metropolitana</t>
  </si>
  <si>
    <t>Javier Muñoz</t>
  </si>
  <si>
    <t>Repuestos</t>
  </si>
  <si>
    <t>Sensor de temperatura</t>
  </si>
  <si>
    <t>Online</t>
  </si>
  <si>
    <t>V-1003</t>
  </si>
  <si>
    <t>Luis Pérez</t>
  </si>
  <si>
    <t>V-1004</t>
  </si>
  <si>
    <t>Carlos Rojas</t>
  </si>
  <si>
    <t>Quemador de reemplazo</t>
  </si>
  <si>
    <t>V-1005</t>
  </si>
  <si>
    <t>Inspección anual</t>
  </si>
  <si>
    <t>V-1006</t>
  </si>
  <si>
    <t>Distribuidor</t>
  </si>
  <si>
    <t>V-1007</t>
  </si>
  <si>
    <t>Andrea Soto</t>
  </si>
  <si>
    <t>Calderas</t>
  </si>
  <si>
    <t>Caldera Compacta C-50</t>
  </si>
  <si>
    <t>V-1008</t>
  </si>
  <si>
    <t>Antofagasta</t>
  </si>
  <si>
    <t>Válvula de seguridad</t>
  </si>
  <si>
    <t>V-1009</t>
  </si>
  <si>
    <t>Valparaíso</t>
  </si>
  <si>
    <t>V-1010</t>
  </si>
  <si>
    <t>V-1011</t>
  </si>
  <si>
    <t>V-1012</t>
  </si>
  <si>
    <t>V-1013</t>
  </si>
  <si>
    <t>V-1014</t>
  </si>
  <si>
    <t>Caldera Industrial C-100</t>
  </si>
  <si>
    <t>V-1015</t>
  </si>
  <si>
    <t>V-1016</t>
  </si>
  <si>
    <t>V-1017</t>
  </si>
  <si>
    <t>V-1018</t>
  </si>
  <si>
    <t>V-1019</t>
  </si>
  <si>
    <t>Insumos</t>
  </si>
  <si>
    <t>Kit de sellos</t>
  </si>
  <si>
    <t>V-1020</t>
  </si>
  <si>
    <t>V-1021</t>
  </si>
  <si>
    <t>V-1022</t>
  </si>
  <si>
    <t>V-1023</t>
  </si>
  <si>
    <t>V-1024</t>
  </si>
  <si>
    <t>V-1025</t>
  </si>
  <si>
    <t>V-1026</t>
  </si>
  <si>
    <t>V-1027</t>
  </si>
  <si>
    <t>V-1028</t>
  </si>
  <si>
    <t>V-1029</t>
  </si>
  <si>
    <t>V-1030</t>
  </si>
  <si>
    <t>V-1031</t>
  </si>
  <si>
    <t>V-1032</t>
  </si>
  <si>
    <t>V-1033</t>
  </si>
  <si>
    <t>V-1034</t>
  </si>
  <si>
    <t>V-1035</t>
  </si>
  <si>
    <t>V-1036</t>
  </si>
  <si>
    <t>V-1037</t>
  </si>
  <si>
    <t>V-1038</t>
  </si>
  <si>
    <t>V-1039</t>
  </si>
  <si>
    <t>V-1040</t>
  </si>
  <si>
    <t>V-1041</t>
  </si>
  <si>
    <t>V-1042</t>
  </si>
  <si>
    <t>V-1043</t>
  </si>
  <si>
    <t>V-1044</t>
  </si>
  <si>
    <t>V-1045</t>
  </si>
  <si>
    <t>V-1046</t>
  </si>
  <si>
    <t>V-1047</t>
  </si>
  <si>
    <t>V-1048</t>
  </si>
  <si>
    <t>V-1049</t>
  </si>
  <si>
    <t>V-1050</t>
  </si>
  <si>
    <t>V-1051</t>
  </si>
  <si>
    <t>V-1052</t>
  </si>
  <si>
    <t>V-1053</t>
  </si>
  <si>
    <t>V-1054</t>
  </si>
  <si>
    <t>V-1055</t>
  </si>
  <si>
    <t>V-1056</t>
  </si>
  <si>
    <t>V-1057</t>
  </si>
  <si>
    <t>V-1058</t>
  </si>
  <si>
    <t>V-1059</t>
  </si>
  <si>
    <t>V-1060</t>
  </si>
  <si>
    <t>V-1061</t>
  </si>
  <si>
    <t>V-1062</t>
  </si>
  <si>
    <t>V-1063</t>
  </si>
  <si>
    <t>V-1064</t>
  </si>
  <si>
    <t>V-1065</t>
  </si>
  <si>
    <t>V-1066</t>
  </si>
  <si>
    <t>V-1067</t>
  </si>
  <si>
    <t>V-1068</t>
  </si>
  <si>
    <t>V-1069</t>
  </si>
  <si>
    <t>V-1070</t>
  </si>
  <si>
    <t>V-1071</t>
  </si>
  <si>
    <t>V-1072</t>
  </si>
  <si>
    <t>V-1073</t>
  </si>
  <si>
    <t>V-1074</t>
  </si>
  <si>
    <t>V-1075</t>
  </si>
  <si>
    <t>V-1076</t>
  </si>
  <si>
    <t>V-1077</t>
  </si>
  <si>
    <t>V-1078</t>
  </si>
  <si>
    <t>V-1079</t>
  </si>
  <si>
    <t>V-1080</t>
  </si>
  <si>
    <t>Impuesto</t>
  </si>
  <si>
    <t>Suma de Venta neta</t>
  </si>
  <si>
    <t>Etiquetas de fila</t>
  </si>
  <si>
    <t>Total general</t>
  </si>
  <si>
    <t>Etiquetas de columna</t>
  </si>
  <si>
    <t>ene</t>
  </si>
  <si>
    <t>feb</t>
  </si>
  <si>
    <t>mar</t>
  </si>
  <si>
    <t>abr</t>
  </si>
  <si>
    <t>may</t>
  </si>
  <si>
    <t>jun</t>
  </si>
  <si>
    <t>jul</t>
  </si>
  <si>
    <t>Escenario</t>
  </si>
  <si>
    <t>Conservador</t>
  </si>
  <si>
    <t>$2.080.000</t>
  </si>
  <si>
    <t>Promocional</t>
  </si>
  <si>
    <t>$2.808.000</t>
  </si>
  <si>
    <t>Optimista</t>
  </si>
  <si>
    <t>$3.952.000</t>
  </si>
  <si>
    <t>Concepto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</si>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</sst>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%"/>
    <numFmt numFmtId="170" formatCode="_-* #,##0\ _€_-;\-* #,##0\ _€_-;_-* &quot;-&quot;\ _€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9" fontId="0" fillId="0" borderId="0" xfId="0" applyNumberFormat="1"/>
    <xf numFmtId="3" fontId="0" fillId="0" borderId="0" xfId="0" applyNumberFormat="1"/>
    <xf numFmtId="170" fontId="3" fillId="2" borderId="0" xfId="0" applyNumberFormat="1" applyFont="1" applyFill="1" applyAlignment="1">
      <alignment horizontal="center"/>
    </xf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3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2">
    <cellStyle name="Normal" xfId="0" builtinId="0"/>
    <cellStyle name="Porcentaje" xfId="1" builtinId="5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[02_BD_Venta_IZIED.xlsx]Hoja3!TablaDinámica15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Suma de Venta neta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Hoja3!$A$4:$A$8</c:f>
              <c:strCache>
                <c:ptCount val="5"/>
                <c:pt idx="0">
                  <c:v>Andrea Soto</c:v>
                </c:pt>
                <c:pt idx="1">
                  <c:v>Carlos Rojas</c:v>
                </c:pt>
                <c:pt idx="2">
                  <c:v>Javier Muñoz</c:v>
                </c:pt>
                <c:pt idx="3">
                  <c:v>Luis Pérez</c:v>
                </c:pt>
                <c:pt idx="4">
                  <c:v>María Fuentes</c:v>
                </c:pt>
              </c:strCache>
            </c:strRef>
          </c:cat>
          <c:val>
            <c:numRef>
              <c:f>Hoja3!$B$4:$B$8</c:f>
              <c:numCache>
                <c:formatCode>_-* #,##0\ _€_-;\-* #,##0\ _€_-;_-* "-"\ _€_-;_-@_-</c:formatCode>
                <c:ptCount val="5"/>
                <c:pt idx="0">
                  <c:v>53613500</c:v>
                </c:pt>
                <c:pt idx="1">
                  <c:v>50908400</c:v>
                </c:pt>
                <c:pt idx="2">
                  <c:v>23217000</c:v>
                </c:pt>
                <c:pt idx="3">
                  <c:v>59276800</c:v>
                </c:pt>
                <c:pt idx="4">
                  <c:v>59807450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8-4762-94EB-986448628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6155887"/>
        <c:axId val="766150127"/>
      </c:barChart>
      <c:catAx>
        <c:axId val="76615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6150127"/>
        <c:crosses val="autoZero"/>
        <c:auto val="1"/>
        <c:lblAlgn val="ctr"/>
        <c:lblOffset val="100"/>
        <c:noMultiLvlLbl val="0"/>
      </c:catAx>
      <c:valAx>
        <c:axId val="7661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661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Ventas!$K$1</c:f>
              <c:strCache>
                <c:ptCount val="1"/>
                <c:pt idx="0">
                  <c:v> Venta neta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Ventas!$B$2:$B$81</c:f>
              <c:numCache>
                <c:formatCode>m/d/yyyy</c:formatCode>
                <c:ptCount val="80"/>
                <c:pt idx="0">
                  <c:v>46028</c:v>
                </c:pt>
                <c:pt idx="1">
                  <c:v>46029</c:v>
                </c:pt>
                <c:pt idx="2">
                  <c:v>46032</c:v>
                </c:pt>
                <c:pt idx="3">
                  <c:v>46035</c:v>
                </c:pt>
                <c:pt idx="4">
                  <c:v>46037</c:v>
                </c:pt>
                <c:pt idx="5">
                  <c:v>46039</c:v>
                </c:pt>
                <c:pt idx="6">
                  <c:v>46042</c:v>
                </c:pt>
                <c:pt idx="7">
                  <c:v>46044</c:v>
                </c:pt>
                <c:pt idx="8">
                  <c:v>46048</c:v>
                </c:pt>
                <c:pt idx="9">
                  <c:v>46049</c:v>
                </c:pt>
                <c:pt idx="10">
                  <c:v>46053</c:v>
                </c:pt>
                <c:pt idx="11">
                  <c:v>46055</c:v>
                </c:pt>
                <c:pt idx="12">
                  <c:v>46057</c:v>
                </c:pt>
                <c:pt idx="13">
                  <c:v>46059</c:v>
                </c:pt>
                <c:pt idx="14">
                  <c:v>46063</c:v>
                </c:pt>
                <c:pt idx="15">
                  <c:v>46065</c:v>
                </c:pt>
                <c:pt idx="16">
                  <c:v>46068</c:v>
                </c:pt>
                <c:pt idx="17">
                  <c:v>46070</c:v>
                </c:pt>
                <c:pt idx="18">
                  <c:v>46073</c:v>
                </c:pt>
                <c:pt idx="19">
                  <c:v>46075</c:v>
                </c:pt>
                <c:pt idx="20">
                  <c:v>46077</c:v>
                </c:pt>
                <c:pt idx="21">
                  <c:v>46079</c:v>
                </c:pt>
                <c:pt idx="22">
                  <c:v>46083</c:v>
                </c:pt>
                <c:pt idx="23">
                  <c:v>46085</c:v>
                </c:pt>
                <c:pt idx="24">
                  <c:v>46088</c:v>
                </c:pt>
                <c:pt idx="25">
                  <c:v>46090</c:v>
                </c:pt>
                <c:pt idx="26">
                  <c:v>46093</c:v>
                </c:pt>
                <c:pt idx="27">
                  <c:v>46094</c:v>
                </c:pt>
                <c:pt idx="28">
                  <c:v>46098</c:v>
                </c:pt>
                <c:pt idx="29">
                  <c:v>46100</c:v>
                </c:pt>
                <c:pt idx="30">
                  <c:v>46102</c:v>
                </c:pt>
                <c:pt idx="31">
                  <c:v>46105</c:v>
                </c:pt>
                <c:pt idx="32">
                  <c:v>46108</c:v>
                </c:pt>
                <c:pt idx="33">
                  <c:v>46109</c:v>
                </c:pt>
                <c:pt idx="34">
                  <c:v>46112</c:v>
                </c:pt>
                <c:pt idx="35">
                  <c:v>46115</c:v>
                </c:pt>
                <c:pt idx="36">
                  <c:v>46117</c:v>
                </c:pt>
                <c:pt idx="37">
                  <c:v>46119</c:v>
                </c:pt>
                <c:pt idx="38">
                  <c:v>46122</c:v>
                </c:pt>
                <c:pt idx="39">
                  <c:v>46124</c:v>
                </c:pt>
                <c:pt idx="40">
                  <c:v>46127</c:v>
                </c:pt>
                <c:pt idx="41">
                  <c:v>46130</c:v>
                </c:pt>
                <c:pt idx="42">
                  <c:v>46132</c:v>
                </c:pt>
                <c:pt idx="43">
                  <c:v>46134</c:v>
                </c:pt>
                <c:pt idx="44">
                  <c:v>46138</c:v>
                </c:pt>
                <c:pt idx="45">
                  <c:v>46140</c:v>
                </c:pt>
                <c:pt idx="46">
                  <c:v>46142</c:v>
                </c:pt>
                <c:pt idx="47">
                  <c:v>46144</c:v>
                </c:pt>
                <c:pt idx="48">
                  <c:v>46147</c:v>
                </c:pt>
                <c:pt idx="49">
                  <c:v>46149</c:v>
                </c:pt>
                <c:pt idx="50">
                  <c:v>46152</c:v>
                </c:pt>
                <c:pt idx="51">
                  <c:v>46154</c:v>
                </c:pt>
                <c:pt idx="52">
                  <c:v>46157</c:v>
                </c:pt>
                <c:pt idx="53">
                  <c:v>46160</c:v>
                </c:pt>
                <c:pt idx="54">
                  <c:v>46163</c:v>
                </c:pt>
                <c:pt idx="55">
                  <c:v>46165</c:v>
                </c:pt>
                <c:pt idx="56">
                  <c:v>46168</c:v>
                </c:pt>
                <c:pt idx="57">
                  <c:v>46170</c:v>
                </c:pt>
                <c:pt idx="58">
                  <c:v>46172</c:v>
                </c:pt>
                <c:pt idx="59">
                  <c:v>46174</c:v>
                </c:pt>
                <c:pt idx="60">
                  <c:v>46178</c:v>
                </c:pt>
                <c:pt idx="61">
                  <c:v>46180</c:v>
                </c:pt>
                <c:pt idx="62">
                  <c:v>46182</c:v>
                </c:pt>
                <c:pt idx="63">
                  <c:v>46185</c:v>
                </c:pt>
                <c:pt idx="64">
                  <c:v>46188</c:v>
                </c:pt>
                <c:pt idx="65">
                  <c:v>46190</c:v>
                </c:pt>
                <c:pt idx="66">
                  <c:v>46192</c:v>
                </c:pt>
                <c:pt idx="67">
                  <c:v>46195</c:v>
                </c:pt>
                <c:pt idx="68">
                  <c:v>46197</c:v>
                </c:pt>
                <c:pt idx="69">
                  <c:v>46200</c:v>
                </c:pt>
                <c:pt idx="70">
                  <c:v>46203</c:v>
                </c:pt>
                <c:pt idx="71">
                  <c:v>46204</c:v>
                </c:pt>
                <c:pt idx="72">
                  <c:v>46207</c:v>
                </c:pt>
                <c:pt idx="73">
                  <c:v>46209</c:v>
                </c:pt>
                <c:pt idx="74">
                  <c:v>46212</c:v>
                </c:pt>
                <c:pt idx="75">
                  <c:v>46215</c:v>
                </c:pt>
                <c:pt idx="76">
                  <c:v>46218</c:v>
                </c:pt>
                <c:pt idx="77">
                  <c:v>46220</c:v>
                </c:pt>
                <c:pt idx="78">
                  <c:v>46222</c:v>
                </c:pt>
                <c:pt idx="79">
                  <c:v>46224</c:v>
                </c:pt>
              </c:numCache>
            </c:numRef>
          </c:cat>
          <c:val>
            <c:numRef>
              <c:f>Ventas!$K$2:$K$81</c:f>
              <c:numCache>
                <c:formatCode>_-* #,##0\ _€_-;\-* #,##0\ _€_-;_-* "-"\ _€_-;_-@_-</c:formatCode>
                <c:ptCount val="80"/>
                <c:pt idx="0">
                  <c:v>2080000</c:v>
                </c:pt>
                <c:pt idx="1">
                  <c:v>357200</c:v>
                </c:pt>
                <c:pt idx="2">
                  <c:v>3952000</c:v>
                </c:pt>
                <c:pt idx="3">
                  <c:v>6080000</c:v>
                </c:pt>
                <c:pt idx="4">
                  <c:v>527000</c:v>
                </c:pt>
                <c:pt idx="5">
                  <c:v>470000</c:v>
                </c:pt>
                <c:pt idx="6">
                  <c:v>2327500</c:v>
                </c:pt>
                <c:pt idx="7">
                  <c:v>499500</c:v>
                </c:pt>
                <c:pt idx="8">
                  <c:v>3239500</c:v>
                </c:pt>
                <c:pt idx="9">
                  <c:v>4900000</c:v>
                </c:pt>
                <c:pt idx="10">
                  <c:v>468000</c:v>
                </c:pt>
                <c:pt idx="11">
                  <c:v>263500</c:v>
                </c:pt>
                <c:pt idx="12">
                  <c:v>2080000</c:v>
                </c:pt>
                <c:pt idx="13">
                  <c:v>4200000</c:v>
                </c:pt>
                <c:pt idx="14">
                  <c:v>1844500</c:v>
                </c:pt>
                <c:pt idx="15">
                  <c:v>7560000</c:v>
                </c:pt>
                <c:pt idx="16">
                  <c:v>803700</c:v>
                </c:pt>
                <c:pt idx="17">
                  <c:v>3536000</c:v>
                </c:pt>
                <c:pt idx="18">
                  <c:v>476000</c:v>
                </c:pt>
                <c:pt idx="19">
                  <c:v>1665000</c:v>
                </c:pt>
                <c:pt idx="20">
                  <c:v>4165000</c:v>
                </c:pt>
                <c:pt idx="21">
                  <c:v>136000</c:v>
                </c:pt>
                <c:pt idx="22">
                  <c:v>790500</c:v>
                </c:pt>
                <c:pt idx="23">
                  <c:v>7980000</c:v>
                </c:pt>
                <c:pt idx="24">
                  <c:v>589000</c:v>
                </c:pt>
                <c:pt idx="25">
                  <c:v>2052000</c:v>
                </c:pt>
                <c:pt idx="26">
                  <c:v>1110000</c:v>
                </c:pt>
                <c:pt idx="27">
                  <c:v>520000</c:v>
                </c:pt>
                <c:pt idx="28">
                  <c:v>8664000</c:v>
                </c:pt>
                <c:pt idx="29">
                  <c:v>544000</c:v>
                </c:pt>
                <c:pt idx="30">
                  <c:v>5168000</c:v>
                </c:pt>
                <c:pt idx="31">
                  <c:v>7140000</c:v>
                </c:pt>
                <c:pt idx="32">
                  <c:v>370000</c:v>
                </c:pt>
                <c:pt idx="33">
                  <c:v>710600</c:v>
                </c:pt>
                <c:pt idx="34">
                  <c:v>1860000</c:v>
                </c:pt>
                <c:pt idx="35">
                  <c:v>4900000</c:v>
                </c:pt>
                <c:pt idx="36">
                  <c:v>5928000</c:v>
                </c:pt>
                <c:pt idx="37">
                  <c:v>8400000</c:v>
                </c:pt>
                <c:pt idx="38">
                  <c:v>2450000</c:v>
                </c:pt>
                <c:pt idx="39">
                  <c:v>710600</c:v>
                </c:pt>
                <c:pt idx="40">
                  <c:v>470000</c:v>
                </c:pt>
                <c:pt idx="41">
                  <c:v>6498000</c:v>
                </c:pt>
                <c:pt idx="42">
                  <c:v>68000</c:v>
                </c:pt>
                <c:pt idx="43">
                  <c:v>1933250</c:v>
                </c:pt>
                <c:pt idx="44">
                  <c:v>408000</c:v>
                </c:pt>
                <c:pt idx="45">
                  <c:v>3100000</c:v>
                </c:pt>
                <c:pt idx="46">
                  <c:v>3040000</c:v>
                </c:pt>
                <c:pt idx="47">
                  <c:v>8400000</c:v>
                </c:pt>
                <c:pt idx="48">
                  <c:v>2280000</c:v>
                </c:pt>
                <c:pt idx="49">
                  <c:v>6080000</c:v>
                </c:pt>
                <c:pt idx="50">
                  <c:v>494000</c:v>
                </c:pt>
                <c:pt idx="51">
                  <c:v>7600000</c:v>
                </c:pt>
                <c:pt idx="52">
                  <c:v>4200000</c:v>
                </c:pt>
                <c:pt idx="53">
                  <c:v>2205000</c:v>
                </c:pt>
                <c:pt idx="54">
                  <c:v>7980000</c:v>
                </c:pt>
                <c:pt idx="55">
                  <c:v>1757500</c:v>
                </c:pt>
                <c:pt idx="56">
                  <c:v>2945000</c:v>
                </c:pt>
                <c:pt idx="57">
                  <c:v>7980000</c:v>
                </c:pt>
                <c:pt idx="58">
                  <c:v>2170000</c:v>
                </c:pt>
                <c:pt idx="59">
                  <c:v>1034000</c:v>
                </c:pt>
                <c:pt idx="60">
                  <c:v>4655000</c:v>
                </c:pt>
                <c:pt idx="61">
                  <c:v>272000</c:v>
                </c:pt>
                <c:pt idx="62">
                  <c:v>61200</c:v>
                </c:pt>
                <c:pt idx="63">
                  <c:v>4862000</c:v>
                </c:pt>
                <c:pt idx="64">
                  <c:v>1240000</c:v>
                </c:pt>
                <c:pt idx="65">
                  <c:v>2035000</c:v>
                </c:pt>
                <c:pt idx="66">
                  <c:v>7942000</c:v>
                </c:pt>
                <c:pt idx="67">
                  <c:v>4900000</c:v>
                </c:pt>
                <c:pt idx="68">
                  <c:v>714400</c:v>
                </c:pt>
                <c:pt idx="69">
                  <c:v>3458000</c:v>
                </c:pt>
                <c:pt idx="70">
                  <c:v>7560000</c:v>
                </c:pt>
                <c:pt idx="71">
                  <c:v>57800</c:v>
                </c:pt>
                <c:pt idx="72">
                  <c:v>4900000</c:v>
                </c:pt>
                <c:pt idx="73">
                  <c:v>8360000</c:v>
                </c:pt>
                <c:pt idx="74">
                  <c:v>883500</c:v>
                </c:pt>
                <c:pt idx="75">
                  <c:v>555000</c:v>
                </c:pt>
                <c:pt idx="76">
                  <c:v>8208000</c:v>
                </c:pt>
                <c:pt idx="77">
                  <c:v>1040000</c:v>
                </c:pt>
                <c:pt idx="78">
                  <c:v>2480000</c:v>
                </c:pt>
                <c:pt idx="79">
                  <c:v>479400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0-4890-A8F6-88E08C5B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4156351"/>
        <c:axId val="1314140511"/>
      </c:lineChart>
      <c:dateAx>
        <c:axId val="13141563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4140511"/>
        <c:crosses val="autoZero"/>
        <c:auto val="1"/>
        <c:lblOffset val="100"/>
        <c:baseTimeUnit val="days"/>
      </c:dateAx>
      <c:valAx>
        <c:axId val="13141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€_-;\-* #,##0\ _€_-;_-* &quot;-&quot;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14156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</xdr:colOff>
      <xdr:row>1</xdr:row>
      <xdr:rowOff>156210</xdr:rowOff>
    </xdr:from>
    <xdr:to>
      <xdr:col>8</xdr:col>
      <xdr:colOff>80010</xdr:colOff>
      <xdr:row>16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106470-D133-46D5-1C3F-905DA9768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3809</xdr:colOff>
      <xdr:row>1</xdr:row>
      <xdr:rowOff>3810</xdr:rowOff>
    </xdr:from>
    <xdr:to>
      <xdr:col>26</xdr:col>
      <xdr:colOff>609600</xdr:colOff>
      <xdr:row>15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BFF269-9A05-CACA-40BE-292D1329A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olis" refreshedDate="46279.870404629626" createdVersion="8" refreshedVersion="8" minRefreshableVersion="3" recordCount="80" xr:uid="{2CD26CBA-7FFC-4EC7-811D-6984640C3A2F}">
  <cacheSource type="worksheet">
    <worksheetSource ref="A1:K81" sheet="Ventas"/>
  </cacheSource>
  <cacheFields count="11">
    <cacheField name="ID Venta" numFmtId="0">
      <sharedItems/>
    </cacheField>
    <cacheField name="Fecha" numFmtId="14">
      <sharedItems containsSemiMixedTypes="0" containsNonDate="0" containsDate="1" containsString="0" minDate="2026-01-06T00:00:00" maxDate="2026-07-22T00:00:00"/>
    </cacheField>
    <cacheField name="Región" numFmtId="0">
      <sharedItems/>
    </cacheField>
    <cacheField name="Vendedor" numFmtId="0">
      <sharedItems count="5">
        <s v="María Fuentes"/>
        <s v="Javier Muñoz"/>
        <s v="Luis Pérez"/>
        <s v="Carlos Rojas"/>
        <s v="Andrea Soto"/>
      </sharedItems>
    </cacheField>
    <cacheField name="Categoría" numFmtId="0">
      <sharedItems/>
    </cacheField>
    <cacheField name="Producto" numFmtId="0">
      <sharedItems/>
    </cacheField>
    <cacheField name="Canal" numFmtId="0">
      <sharedItems/>
    </cacheField>
    <cacheField name="Cantidad" numFmtId="3">
      <sharedItems containsSemiMixedTypes="0" containsString="0" containsNumber="1" containsInteger="1" minValue="1" maxValue="12"/>
    </cacheField>
    <cacheField name="Precio unitario" numFmtId="170">
      <sharedItems containsSemiMixedTypes="0" containsString="0" containsNumber="1" containsInteger="1" minValue="68000" maxValue="4200000"/>
    </cacheField>
    <cacheField name="Descuento" numFmtId="169">
      <sharedItems containsSemiMixedTypes="0" containsString="0" containsNumber="1" minValue="0" maxValue="0.15"/>
    </cacheField>
    <cacheField name="Venta neta" numFmtId="170">
      <sharedItems containsSemiMixedTypes="0" containsString="0" containsNumber="1" containsInteger="1" minValue="57800" maxValue="86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olis" refreshedDate="46279.88210127315" createdVersion="8" refreshedVersion="8" minRefreshableVersion="3" recordCount="81" xr:uid="{9D11E6BD-1D89-46FA-BFA4-43B32A1C4432}">
  <cacheSource type="worksheet">
    <worksheetSource ref="A1:K1048576" sheet="Ventas"/>
  </cacheSource>
  <cacheFields count="13">
    <cacheField name="ID Venta" numFmtId="0">
      <sharedItems containsBlank="1"/>
    </cacheField>
    <cacheField name="Fecha" numFmtId="0">
      <sharedItems containsNonDate="0" containsDate="1" containsString="0" containsBlank="1" minDate="2026-01-06T00:00:00" maxDate="2026-07-22T00:00:00" count="81">
        <d v="2026-01-06T00:00:00"/>
        <d v="2026-01-07T00:00:00"/>
        <d v="2026-01-10T00:00:00"/>
        <d v="2026-01-13T00:00:00"/>
        <d v="2026-01-15T00:00:00"/>
        <d v="2026-01-17T00:00:00"/>
        <d v="2026-01-20T00:00:00"/>
        <d v="2026-01-22T00:00:00"/>
        <d v="2026-01-26T00:00:00"/>
        <d v="2026-01-27T00:00:00"/>
        <d v="2026-01-31T00:00:00"/>
        <d v="2026-02-02T00:00:00"/>
        <d v="2026-02-04T00:00:00"/>
        <d v="2026-02-06T00:00:00"/>
        <d v="2026-02-10T00:00:00"/>
        <d v="2026-02-12T00:00:00"/>
        <d v="2026-02-15T00:00:00"/>
        <d v="2026-02-17T00:00:00"/>
        <d v="2026-02-20T00:00:00"/>
        <d v="2026-02-22T00:00:00"/>
        <d v="2026-02-24T00:00:00"/>
        <d v="2026-02-26T00:00:00"/>
        <d v="2026-03-02T00:00:00"/>
        <d v="2026-03-04T00:00:00"/>
        <d v="2026-03-07T00:00:00"/>
        <d v="2026-03-09T00:00:00"/>
        <d v="2026-03-12T00:00:00"/>
        <d v="2026-03-13T00:00:00"/>
        <d v="2026-03-17T00:00:00"/>
        <d v="2026-03-19T00:00:00"/>
        <d v="2026-03-21T00:00:00"/>
        <d v="2026-03-24T00:00:00"/>
        <d v="2026-03-27T00:00:00"/>
        <d v="2026-03-28T00:00:00"/>
        <d v="2026-03-31T00:00:00"/>
        <d v="2026-04-03T00:00:00"/>
        <d v="2026-04-05T00:00:00"/>
        <d v="2026-04-07T00:00:00"/>
        <d v="2026-04-10T00:00:00"/>
        <d v="2026-04-12T00:00:00"/>
        <d v="2026-04-15T00:00:00"/>
        <d v="2026-04-18T00:00:00"/>
        <d v="2026-04-20T00:00:00"/>
        <d v="2026-04-22T00:00:00"/>
        <d v="2026-04-26T00:00:00"/>
        <d v="2026-04-28T00:00:00"/>
        <d v="2026-04-30T00:00:00"/>
        <d v="2026-05-02T00:00:00"/>
        <d v="2026-05-05T00:00:00"/>
        <d v="2026-05-07T00:00:00"/>
        <d v="2026-05-10T00:00:00"/>
        <d v="2026-05-12T00:00:00"/>
        <d v="2026-05-15T00:00:00"/>
        <d v="2026-05-18T00:00:00"/>
        <d v="2026-05-21T00:00:00"/>
        <d v="2026-05-23T00:00:00"/>
        <d v="2026-05-26T00:00:00"/>
        <d v="2026-05-28T00:00:00"/>
        <d v="2026-05-30T00:00:00"/>
        <d v="2026-06-01T00:00:00"/>
        <d v="2026-06-05T00:00:00"/>
        <d v="2026-06-07T00:00:00"/>
        <d v="2026-06-09T00:00:00"/>
        <d v="2026-06-12T00:00:00"/>
        <d v="2026-06-15T00:00:00"/>
        <d v="2026-06-17T00:00:00"/>
        <d v="2026-06-19T00:00:00"/>
        <d v="2026-06-22T00:00:00"/>
        <d v="2026-06-24T00:00:00"/>
        <d v="2026-06-27T00:00:00"/>
        <d v="2026-06-30T00:00:00"/>
        <d v="2026-07-01T00:00:00"/>
        <d v="2026-07-04T00:00:00"/>
        <d v="2026-07-06T00:00:00"/>
        <d v="2026-07-09T00:00:00"/>
        <d v="2026-07-12T00:00:00"/>
        <d v="2026-07-15T00:00:00"/>
        <d v="2026-07-17T00:00:00"/>
        <d v="2026-07-19T00:00:00"/>
        <d v="2026-07-21T00:00:00"/>
        <m/>
      </sharedItems>
      <fieldGroup par="12"/>
    </cacheField>
    <cacheField name="Región" numFmtId="0">
      <sharedItems containsBlank="1" count="5">
        <s v="Biobío"/>
        <s v="Metropolitana"/>
        <s v="Antofagasta"/>
        <s v="Valparaíso"/>
        <m/>
      </sharedItems>
    </cacheField>
    <cacheField name="Vendedor" numFmtId="0">
      <sharedItems containsBlank="1" count="6">
        <s v="María Fuentes"/>
        <s v="Javier Muñoz"/>
        <s v="Luis Pérez"/>
        <s v="Carlos Rojas"/>
        <s v="Andrea Soto"/>
        <m/>
      </sharedItems>
    </cacheField>
    <cacheField name="Categoría" numFmtId="0">
      <sharedItems containsBlank="1"/>
    </cacheField>
    <cacheField name="Producto" numFmtId="0">
      <sharedItems containsBlank="1" count="9">
        <s v="Mantención preventiva"/>
        <s v="Sensor de temperatura"/>
        <s v="Quemador de reemplazo"/>
        <s v="Inspección anual"/>
        <s v="Caldera Compacta C-50"/>
        <s v="Válvula de seguridad"/>
        <s v="Caldera Industrial C-100"/>
        <s v="Kit de sellos"/>
        <m/>
      </sharedItems>
    </cacheField>
    <cacheField name="Canal" numFmtId="0">
      <sharedItems containsBlank="1"/>
    </cacheField>
    <cacheField name="Cantidad" numFmtId="0">
      <sharedItems containsString="0" containsBlank="1" containsNumber="1" containsInteger="1" minValue="1" maxValue="12"/>
    </cacheField>
    <cacheField name="Precio unitario" numFmtId="170">
      <sharedItems containsString="0" containsBlank="1" containsNumber="1" containsInteger="1" minValue="68000" maxValue="4200000"/>
    </cacheField>
    <cacheField name="Descuento" numFmtId="0">
      <sharedItems containsString="0" containsBlank="1" containsNumber="1" minValue="0" maxValue="0.15"/>
    </cacheField>
    <cacheField name="Venta neta" numFmtId="170">
      <sharedItems containsString="0" containsBlank="1" containsNumber="1" containsInteger="1" minValue="57800" maxValue="8664000"/>
    </cacheField>
    <cacheField name="Días (Fecha)" numFmtId="0" databaseField="0">
      <fieldGroup base="1">
        <rangePr groupBy="days" startDate="2026-01-06T00:00:00" endDate="2026-07-22T00:00:00"/>
        <groupItems count="368">
          <s v="&lt;06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2/07/2026"/>
        </groupItems>
      </fieldGroup>
    </cacheField>
    <cacheField name="Meses (Fecha)" numFmtId="0" databaseField="0">
      <fieldGroup base="1">
        <rangePr groupBy="months" startDate="2026-01-06T00:00:00" endDate="2026-07-22T00:00:00"/>
        <groupItems count="14">
          <s v="&lt;06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2/07/2026"/>
        </groupItems>
      </fieldGroup>
    </cacheField>
  </cacheFields>
  <extLst>
    <ext xmlns:x14="http://schemas.microsoft.com/office/spreadsheetml/2009/9/main" uri="{725AE2AE-9491-48be-B2B4-4EB974FC3084}">
      <x14:pivotCacheDefinition pivotCacheId="191869796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V-1001"/>
    <d v="2026-01-06T00:00:00"/>
    <s v="Biobío"/>
    <x v="0"/>
    <s v="Servicios"/>
    <s v="Mantención preventiva"/>
    <s v="Directo"/>
    <n v="4"/>
    <n v="520000"/>
    <n v="0"/>
    <n v="2080000"/>
  </r>
  <r>
    <s v="V-1002"/>
    <d v="2026-01-07T00:00:00"/>
    <s v="Metropolitana"/>
    <x v="1"/>
    <s v="Repuestos"/>
    <s v="Sensor de temperatura"/>
    <s v="Online"/>
    <n v="4"/>
    <n v="94000"/>
    <n v="0.05"/>
    <n v="357200"/>
  </r>
  <r>
    <s v="V-1003"/>
    <d v="2026-01-10T00:00:00"/>
    <s v="Metropolitana"/>
    <x v="2"/>
    <s v="Servicios"/>
    <s v="Mantención preventiva"/>
    <s v="Online"/>
    <n v="8"/>
    <n v="520000"/>
    <n v="0.05"/>
    <n v="3952000"/>
  </r>
  <r>
    <s v="V-1004"/>
    <d v="2026-01-13T00:00:00"/>
    <s v="Biobío"/>
    <x v="3"/>
    <s v="Repuestos"/>
    <s v="Quemador de reemplazo"/>
    <s v="Online"/>
    <n v="8"/>
    <n v="760000"/>
    <n v="0"/>
    <n v="6080000"/>
  </r>
  <r>
    <s v="V-1005"/>
    <d v="2026-01-15T00:00:00"/>
    <s v="Metropolitana"/>
    <x v="3"/>
    <s v="Servicios"/>
    <s v="Inspección anual"/>
    <s v="Online"/>
    <n v="2"/>
    <n v="310000"/>
    <n v="0.15"/>
    <n v="527000"/>
  </r>
  <r>
    <s v="V-1006"/>
    <d v="2026-01-17T00:00:00"/>
    <s v="Metropolitana"/>
    <x v="3"/>
    <s v="Repuestos"/>
    <s v="Sensor de temperatura"/>
    <s v="Distribuidor"/>
    <n v="5"/>
    <n v="94000"/>
    <n v="0"/>
    <n v="470000"/>
  </r>
  <r>
    <s v="V-1007"/>
    <d v="2026-01-20T00:00:00"/>
    <s v="Metropolitana"/>
    <x v="4"/>
    <s v="Calderas"/>
    <s v="Caldera Compacta C-50"/>
    <s v="Distribuidor"/>
    <n v="1"/>
    <n v="2450000"/>
    <n v="0.05"/>
    <n v="2327500"/>
  </r>
  <r>
    <s v="V-1008"/>
    <d v="2026-01-22T00:00:00"/>
    <s v="Antofagasta"/>
    <x v="3"/>
    <s v="Repuestos"/>
    <s v="Válvula de seguridad"/>
    <s v="Directo"/>
    <n v="3"/>
    <n v="185000"/>
    <n v="0.1"/>
    <n v="499500"/>
  </r>
  <r>
    <s v="V-1009"/>
    <d v="2026-01-26T00:00:00"/>
    <s v="Valparaíso"/>
    <x v="0"/>
    <s v="Servicios"/>
    <s v="Inspección anual"/>
    <s v="Distribuidor"/>
    <n v="11"/>
    <n v="310000"/>
    <n v="0.05"/>
    <n v="3239500"/>
  </r>
  <r>
    <s v="V-1010"/>
    <d v="2026-01-27T00:00:00"/>
    <s v="Antofagasta"/>
    <x v="0"/>
    <s v="Calderas"/>
    <s v="Caldera Compacta C-50"/>
    <s v="Online"/>
    <n v="2"/>
    <n v="2450000"/>
    <n v="0"/>
    <n v="4900000"/>
  </r>
  <r>
    <s v="V-1011"/>
    <d v="2026-01-31T00:00:00"/>
    <s v="Antofagasta"/>
    <x v="2"/>
    <s v="Servicios"/>
    <s v="Mantención preventiva"/>
    <s v="Online"/>
    <n v="1"/>
    <n v="520000"/>
    <n v="0.1"/>
    <n v="468000"/>
  </r>
  <r>
    <s v="V-1012"/>
    <d v="2026-02-02T00:00:00"/>
    <s v="Biobío"/>
    <x v="3"/>
    <s v="Servicios"/>
    <s v="Inspección anual"/>
    <s v="Directo"/>
    <n v="1"/>
    <n v="310000"/>
    <n v="0.15"/>
    <n v="263500"/>
  </r>
  <r>
    <s v="V-1013"/>
    <d v="2026-02-04T00:00:00"/>
    <s v="Antofagasta"/>
    <x v="1"/>
    <s v="Servicios"/>
    <s v="Mantención preventiva"/>
    <s v="Online"/>
    <n v="4"/>
    <n v="520000"/>
    <n v="0"/>
    <n v="2080000"/>
  </r>
  <r>
    <s v="V-1014"/>
    <d v="2026-02-06T00:00:00"/>
    <s v="Valparaíso"/>
    <x v="4"/>
    <s v="Calderas"/>
    <s v="Caldera Industrial C-100"/>
    <s v="Distribuidor"/>
    <n v="1"/>
    <n v="4200000"/>
    <n v="0"/>
    <n v="4200000"/>
  </r>
  <r>
    <s v="V-1015"/>
    <d v="2026-02-10T00:00:00"/>
    <s v="Valparaíso"/>
    <x v="3"/>
    <s v="Servicios"/>
    <s v="Inspección anual"/>
    <s v="Online"/>
    <n v="7"/>
    <n v="310000"/>
    <n v="0.15"/>
    <n v="1844500"/>
  </r>
  <r>
    <s v="V-1016"/>
    <d v="2026-02-12T00:00:00"/>
    <s v="Biobío"/>
    <x v="0"/>
    <s v="Calderas"/>
    <s v="Caldera Industrial C-100"/>
    <s v="Directo"/>
    <n v="2"/>
    <n v="4200000"/>
    <n v="0.1"/>
    <n v="7560000"/>
  </r>
  <r>
    <s v="V-1017"/>
    <d v="2026-02-15T00:00:00"/>
    <s v="Valparaíso"/>
    <x v="0"/>
    <s v="Repuestos"/>
    <s v="Sensor de temperatura"/>
    <s v="Online"/>
    <n v="9"/>
    <n v="94000"/>
    <n v="0.05"/>
    <n v="803700"/>
  </r>
  <r>
    <s v="V-1018"/>
    <d v="2026-02-17T00:00:00"/>
    <s v="Antofagasta"/>
    <x v="4"/>
    <s v="Servicios"/>
    <s v="Mantención preventiva"/>
    <s v="Online"/>
    <n v="8"/>
    <n v="520000"/>
    <n v="0.15"/>
    <n v="3536000"/>
  </r>
  <r>
    <s v="V-1019"/>
    <d v="2026-02-20T00:00:00"/>
    <s v="Antofagasta"/>
    <x v="0"/>
    <s v="Insumos"/>
    <s v="Kit de sellos"/>
    <s v="Online"/>
    <n v="7"/>
    <n v="68000"/>
    <n v="0"/>
    <n v="476000"/>
  </r>
  <r>
    <s v="V-1020"/>
    <d v="2026-02-22T00:00:00"/>
    <s v="Biobío"/>
    <x v="0"/>
    <s v="Repuestos"/>
    <s v="Válvula de seguridad"/>
    <s v="Directo"/>
    <n v="9"/>
    <n v="185000"/>
    <n v="0"/>
    <n v="1665000"/>
  </r>
  <r>
    <s v="V-1021"/>
    <d v="2026-02-24T00:00:00"/>
    <s v="Biobío"/>
    <x v="1"/>
    <s v="Calderas"/>
    <s v="Caldera Compacta C-50"/>
    <s v="Distribuidor"/>
    <n v="2"/>
    <n v="2450000"/>
    <n v="0.15"/>
    <n v="4165000"/>
  </r>
  <r>
    <s v="V-1022"/>
    <d v="2026-02-26T00:00:00"/>
    <s v="Metropolitana"/>
    <x v="3"/>
    <s v="Insumos"/>
    <s v="Kit de sellos"/>
    <s v="Directo"/>
    <n v="2"/>
    <n v="68000"/>
    <n v="0"/>
    <n v="136000"/>
  </r>
  <r>
    <s v="V-1023"/>
    <d v="2026-03-02T00:00:00"/>
    <s v="Biobío"/>
    <x v="0"/>
    <s v="Servicios"/>
    <s v="Inspección anual"/>
    <s v="Online"/>
    <n v="3"/>
    <n v="310000"/>
    <n v="0.15"/>
    <n v="790500"/>
  </r>
  <r>
    <s v="V-1024"/>
    <d v="2026-03-04T00:00:00"/>
    <s v="Metropolitana"/>
    <x v="0"/>
    <s v="Calderas"/>
    <s v="Caldera Industrial C-100"/>
    <s v="Directo"/>
    <n v="2"/>
    <n v="4200000"/>
    <n v="0.05"/>
    <n v="7980000"/>
  </r>
  <r>
    <s v="V-1025"/>
    <d v="2026-03-07T00:00:00"/>
    <s v="Valparaíso"/>
    <x v="1"/>
    <s v="Servicios"/>
    <s v="Inspección anual"/>
    <s v="Directo"/>
    <n v="2"/>
    <n v="310000"/>
    <n v="0.05"/>
    <n v="589000"/>
  </r>
  <r>
    <s v="V-1026"/>
    <d v="2026-03-09T00:00:00"/>
    <s v="Biobío"/>
    <x v="4"/>
    <s v="Repuestos"/>
    <s v="Quemador de reemplazo"/>
    <s v="Distribuidor"/>
    <n v="3"/>
    <n v="760000"/>
    <n v="0.1"/>
    <n v="2052000"/>
  </r>
  <r>
    <s v="V-1027"/>
    <d v="2026-03-12T00:00:00"/>
    <s v="Antofagasta"/>
    <x v="3"/>
    <s v="Repuestos"/>
    <s v="Válvula de seguridad"/>
    <s v="Online"/>
    <n v="6"/>
    <n v="185000"/>
    <n v="0"/>
    <n v="1110000"/>
  </r>
  <r>
    <s v="V-1028"/>
    <d v="2026-03-13T00:00:00"/>
    <s v="Antofagasta"/>
    <x v="2"/>
    <s v="Servicios"/>
    <s v="Mantención preventiva"/>
    <s v="Online"/>
    <n v="1"/>
    <n v="520000"/>
    <n v="0"/>
    <n v="520000"/>
  </r>
  <r>
    <s v="V-1029"/>
    <d v="2026-03-17T00:00:00"/>
    <s v="Antofagasta"/>
    <x v="3"/>
    <s v="Repuestos"/>
    <s v="Quemador de reemplazo"/>
    <s v="Directo"/>
    <n v="12"/>
    <n v="760000"/>
    <n v="0.05"/>
    <n v="8664000"/>
  </r>
  <r>
    <s v="V-1030"/>
    <d v="2026-03-19T00:00:00"/>
    <s v="Valparaíso"/>
    <x v="1"/>
    <s v="Insumos"/>
    <s v="Kit de sellos"/>
    <s v="Online"/>
    <n v="8"/>
    <n v="68000"/>
    <n v="0"/>
    <n v="544000"/>
  </r>
  <r>
    <s v="V-1031"/>
    <d v="2026-03-21T00:00:00"/>
    <s v="Metropolitana"/>
    <x v="2"/>
    <s v="Repuestos"/>
    <s v="Quemador de reemplazo"/>
    <s v="Directo"/>
    <n v="8"/>
    <n v="760000"/>
    <n v="0.15"/>
    <n v="5168000"/>
  </r>
  <r>
    <s v="V-1032"/>
    <d v="2026-03-24T00:00:00"/>
    <s v="Metropolitana"/>
    <x v="2"/>
    <s v="Calderas"/>
    <s v="Caldera Industrial C-100"/>
    <s v="Directo"/>
    <n v="2"/>
    <n v="4200000"/>
    <n v="0.15"/>
    <n v="7140000"/>
  </r>
  <r>
    <s v="V-1033"/>
    <d v="2026-03-27T00:00:00"/>
    <s v="Biobío"/>
    <x v="0"/>
    <s v="Repuestos"/>
    <s v="Válvula de seguridad"/>
    <s v="Online"/>
    <n v="2"/>
    <n v="185000"/>
    <n v="0"/>
    <n v="370000"/>
  </r>
  <r>
    <s v="V-1034"/>
    <d v="2026-03-28T00:00:00"/>
    <s v="Metropolitana"/>
    <x v="3"/>
    <s v="Insumos"/>
    <s v="Kit de sellos"/>
    <s v="Online"/>
    <n v="11"/>
    <n v="68000"/>
    <n v="0.05"/>
    <n v="710600"/>
  </r>
  <r>
    <s v="V-1035"/>
    <d v="2026-03-31T00:00:00"/>
    <s v="Metropolitana"/>
    <x v="4"/>
    <s v="Servicios"/>
    <s v="Inspección anual"/>
    <s v="Online"/>
    <n v="6"/>
    <n v="310000"/>
    <n v="0"/>
    <n v="1860000"/>
  </r>
  <r>
    <s v="V-1036"/>
    <d v="2026-04-03T00:00:00"/>
    <s v="Valparaíso"/>
    <x v="4"/>
    <s v="Calderas"/>
    <s v="Caldera Compacta C-50"/>
    <s v="Online"/>
    <n v="2"/>
    <n v="2450000"/>
    <n v="0"/>
    <n v="4900000"/>
  </r>
  <r>
    <s v="V-1037"/>
    <d v="2026-04-05T00:00:00"/>
    <s v="Biobío"/>
    <x v="2"/>
    <s v="Servicios"/>
    <s v="Mantención preventiva"/>
    <s v="Online"/>
    <n v="12"/>
    <n v="520000"/>
    <n v="0.05"/>
    <n v="5928000"/>
  </r>
  <r>
    <s v="V-1038"/>
    <d v="2026-04-07T00:00:00"/>
    <s v="Antofagasta"/>
    <x v="2"/>
    <s v="Calderas"/>
    <s v="Caldera Industrial C-100"/>
    <s v="Distribuidor"/>
    <n v="2"/>
    <n v="4200000"/>
    <n v="0"/>
    <n v="8400000"/>
  </r>
  <r>
    <s v="V-1039"/>
    <d v="2026-04-10T00:00:00"/>
    <s v="Antofagasta"/>
    <x v="0"/>
    <s v="Calderas"/>
    <s v="Caldera Compacta C-50"/>
    <s v="Distribuidor"/>
    <n v="1"/>
    <n v="2450000"/>
    <n v="0"/>
    <n v="2450000"/>
  </r>
  <r>
    <s v="V-1040"/>
    <d v="2026-04-12T00:00:00"/>
    <s v="Valparaíso"/>
    <x v="3"/>
    <s v="Insumos"/>
    <s v="Kit de sellos"/>
    <s v="Directo"/>
    <n v="11"/>
    <n v="68000"/>
    <n v="0.05"/>
    <n v="710600"/>
  </r>
  <r>
    <s v="V-1041"/>
    <d v="2026-04-15T00:00:00"/>
    <s v="Biobío"/>
    <x v="0"/>
    <s v="Repuestos"/>
    <s v="Sensor de temperatura"/>
    <s v="Distribuidor"/>
    <n v="5"/>
    <n v="94000"/>
    <n v="0"/>
    <n v="470000"/>
  </r>
  <r>
    <s v="V-1042"/>
    <d v="2026-04-18T00:00:00"/>
    <s v="Biobío"/>
    <x v="2"/>
    <s v="Repuestos"/>
    <s v="Quemador de reemplazo"/>
    <s v="Distribuidor"/>
    <n v="9"/>
    <n v="760000"/>
    <n v="0.05"/>
    <n v="6498000"/>
  </r>
  <r>
    <s v="V-1043"/>
    <d v="2026-04-20T00:00:00"/>
    <s v="Biobío"/>
    <x v="0"/>
    <s v="Insumos"/>
    <s v="Kit de sellos"/>
    <s v="Directo"/>
    <n v="1"/>
    <n v="68000"/>
    <n v="0"/>
    <n v="68000"/>
  </r>
  <r>
    <s v="V-1044"/>
    <d v="2026-04-22T00:00:00"/>
    <s v="Valparaíso"/>
    <x v="0"/>
    <s v="Repuestos"/>
    <s v="Válvula de seguridad"/>
    <s v="Directo"/>
    <n v="11"/>
    <n v="185000"/>
    <n v="0.05"/>
    <n v="1933250"/>
  </r>
  <r>
    <s v="V-1045"/>
    <d v="2026-04-26T00:00:00"/>
    <s v="Antofagasta"/>
    <x v="0"/>
    <s v="Insumos"/>
    <s v="Kit de sellos"/>
    <s v="Online"/>
    <n v="6"/>
    <n v="68000"/>
    <n v="0"/>
    <n v="408000"/>
  </r>
  <r>
    <s v="V-1046"/>
    <d v="2026-04-28T00:00:00"/>
    <s v="Metropolitana"/>
    <x v="1"/>
    <s v="Servicios"/>
    <s v="Inspección anual"/>
    <s v="Distribuidor"/>
    <n v="10"/>
    <n v="310000"/>
    <n v="0"/>
    <n v="3100000"/>
  </r>
  <r>
    <s v="V-1047"/>
    <d v="2026-04-30T00:00:00"/>
    <s v="Antofagasta"/>
    <x v="2"/>
    <s v="Repuestos"/>
    <s v="Quemador de reemplazo"/>
    <s v="Online"/>
    <n v="4"/>
    <n v="760000"/>
    <n v="0"/>
    <n v="3040000"/>
  </r>
  <r>
    <s v="V-1048"/>
    <d v="2026-05-02T00:00:00"/>
    <s v="Antofagasta"/>
    <x v="4"/>
    <s v="Calderas"/>
    <s v="Caldera Industrial C-100"/>
    <s v="Distribuidor"/>
    <n v="2"/>
    <n v="4200000"/>
    <n v="0"/>
    <n v="8400000"/>
  </r>
  <r>
    <s v="V-1049"/>
    <d v="2026-05-05T00:00:00"/>
    <s v="Valparaíso"/>
    <x v="2"/>
    <s v="Repuestos"/>
    <s v="Quemador de reemplazo"/>
    <s v="Distribuidor"/>
    <n v="3"/>
    <n v="760000"/>
    <n v="0"/>
    <n v="2280000"/>
  </r>
  <r>
    <s v="V-1050"/>
    <d v="2026-05-07T00:00:00"/>
    <s v="Metropolitana"/>
    <x v="3"/>
    <s v="Repuestos"/>
    <s v="Quemador de reemplazo"/>
    <s v="Directo"/>
    <n v="8"/>
    <n v="760000"/>
    <n v="0"/>
    <n v="6080000"/>
  </r>
  <r>
    <s v="V-1051"/>
    <d v="2026-05-10T00:00:00"/>
    <s v="Antofagasta"/>
    <x v="0"/>
    <s v="Servicios"/>
    <s v="Mantención preventiva"/>
    <s v="Distribuidor"/>
    <n v="1"/>
    <n v="520000"/>
    <n v="0.05"/>
    <n v="494000"/>
  </r>
  <r>
    <s v="V-1052"/>
    <d v="2026-05-12T00:00:00"/>
    <s v="Metropolitana"/>
    <x v="4"/>
    <s v="Repuestos"/>
    <s v="Quemador de reemplazo"/>
    <s v="Online"/>
    <n v="10"/>
    <n v="760000"/>
    <n v="0"/>
    <n v="7600000"/>
  </r>
  <r>
    <s v="V-1053"/>
    <d v="2026-05-15T00:00:00"/>
    <s v="Biobío"/>
    <x v="3"/>
    <s v="Calderas"/>
    <s v="Caldera Industrial C-100"/>
    <s v="Online"/>
    <n v="1"/>
    <n v="4200000"/>
    <n v="0"/>
    <n v="4200000"/>
  </r>
  <r>
    <s v="V-1054"/>
    <d v="2026-05-18T00:00:00"/>
    <s v="Antofagasta"/>
    <x v="0"/>
    <s v="Calderas"/>
    <s v="Caldera Compacta C-50"/>
    <s v="Directo"/>
    <n v="1"/>
    <n v="2450000"/>
    <n v="0.1"/>
    <n v="2205000"/>
  </r>
  <r>
    <s v="V-1055"/>
    <d v="2026-05-21T00:00:00"/>
    <s v="Metropolitana"/>
    <x v="3"/>
    <s v="Calderas"/>
    <s v="Caldera Industrial C-100"/>
    <s v="Directo"/>
    <n v="2"/>
    <n v="4200000"/>
    <n v="0.05"/>
    <n v="7980000"/>
  </r>
  <r>
    <s v="V-1056"/>
    <d v="2026-05-23T00:00:00"/>
    <s v="Biobío"/>
    <x v="0"/>
    <s v="Repuestos"/>
    <s v="Válvula de seguridad"/>
    <s v="Online"/>
    <n v="10"/>
    <n v="185000"/>
    <n v="0.05"/>
    <n v="1757500"/>
  </r>
  <r>
    <s v="V-1057"/>
    <d v="2026-05-26T00:00:00"/>
    <s v="Metropolitana"/>
    <x v="2"/>
    <s v="Servicios"/>
    <s v="Inspección anual"/>
    <s v="Online"/>
    <n v="10"/>
    <n v="310000"/>
    <n v="0.05"/>
    <n v="2945000"/>
  </r>
  <r>
    <s v="V-1058"/>
    <d v="2026-05-28T00:00:00"/>
    <s v="Metropolitana"/>
    <x v="2"/>
    <s v="Calderas"/>
    <s v="Caldera Industrial C-100"/>
    <s v="Distribuidor"/>
    <n v="2"/>
    <n v="4200000"/>
    <n v="0.05"/>
    <n v="7980000"/>
  </r>
  <r>
    <s v="V-1059"/>
    <d v="2026-05-30T00:00:00"/>
    <s v="Metropolitana"/>
    <x v="0"/>
    <s v="Servicios"/>
    <s v="Inspección anual"/>
    <s v="Directo"/>
    <n v="7"/>
    <n v="310000"/>
    <n v="0"/>
    <n v="2170000"/>
  </r>
  <r>
    <s v="V-1060"/>
    <d v="2026-06-01T00:00:00"/>
    <s v="Antofagasta"/>
    <x v="4"/>
    <s v="Repuestos"/>
    <s v="Sensor de temperatura"/>
    <s v="Distribuidor"/>
    <n v="11"/>
    <n v="94000"/>
    <n v="0"/>
    <n v="1034000"/>
  </r>
  <r>
    <s v="V-1061"/>
    <d v="2026-06-05T00:00:00"/>
    <s v="Metropolitana"/>
    <x v="1"/>
    <s v="Calderas"/>
    <s v="Caldera Compacta C-50"/>
    <s v="Online"/>
    <n v="2"/>
    <n v="2450000"/>
    <n v="0.05"/>
    <n v="4655000"/>
  </r>
  <r>
    <s v="V-1062"/>
    <d v="2026-06-07T00:00:00"/>
    <s v="Antofagasta"/>
    <x v="0"/>
    <s v="Insumos"/>
    <s v="Kit de sellos"/>
    <s v="Distribuidor"/>
    <n v="4"/>
    <n v="68000"/>
    <n v="0"/>
    <n v="272000"/>
  </r>
  <r>
    <s v="V-1063"/>
    <d v="2026-06-09T00:00:00"/>
    <s v="Metropolitana"/>
    <x v="3"/>
    <s v="Insumos"/>
    <s v="Kit de sellos"/>
    <s v="Online"/>
    <n v="1"/>
    <n v="68000"/>
    <n v="0.1"/>
    <n v="61200"/>
  </r>
  <r>
    <s v="V-1064"/>
    <d v="2026-06-12T00:00:00"/>
    <s v="Metropolitana"/>
    <x v="4"/>
    <s v="Servicios"/>
    <s v="Mantención preventiva"/>
    <s v="Distribuidor"/>
    <n v="11"/>
    <n v="520000"/>
    <n v="0.15"/>
    <n v="4862000"/>
  </r>
  <r>
    <s v="V-1065"/>
    <d v="2026-06-15T00:00:00"/>
    <s v="Metropolitana"/>
    <x v="0"/>
    <s v="Servicios"/>
    <s v="Inspección anual"/>
    <s v="Directo"/>
    <n v="4"/>
    <n v="310000"/>
    <n v="0"/>
    <n v="1240000"/>
  </r>
  <r>
    <s v="V-1066"/>
    <d v="2026-06-17T00:00:00"/>
    <s v="Biobío"/>
    <x v="1"/>
    <s v="Repuestos"/>
    <s v="Válvula de seguridad"/>
    <s v="Online"/>
    <n v="11"/>
    <n v="185000"/>
    <n v="0"/>
    <n v="2035000"/>
  </r>
  <r>
    <s v="V-1067"/>
    <d v="2026-06-19T00:00:00"/>
    <s v="Valparaíso"/>
    <x v="4"/>
    <s v="Repuestos"/>
    <s v="Quemador de reemplazo"/>
    <s v="Distribuidor"/>
    <n v="11"/>
    <n v="760000"/>
    <n v="0.05"/>
    <n v="7942000"/>
  </r>
  <r>
    <s v="V-1068"/>
    <d v="2026-06-22T00:00:00"/>
    <s v="Antofagasta"/>
    <x v="2"/>
    <s v="Calderas"/>
    <s v="Caldera Compacta C-50"/>
    <s v="Online"/>
    <n v="2"/>
    <n v="2450000"/>
    <n v="0"/>
    <n v="4900000"/>
  </r>
  <r>
    <s v="V-1069"/>
    <d v="2026-06-24T00:00:00"/>
    <s v="Valparaíso"/>
    <x v="1"/>
    <s v="Repuestos"/>
    <s v="Sensor de temperatura"/>
    <s v="Online"/>
    <n v="8"/>
    <n v="94000"/>
    <n v="0.05"/>
    <n v="714400"/>
  </r>
  <r>
    <s v="V-1070"/>
    <d v="2026-06-27T00:00:00"/>
    <s v="Biobío"/>
    <x v="1"/>
    <s v="Servicios"/>
    <s v="Mantención preventiva"/>
    <s v="Online"/>
    <n v="7"/>
    <n v="520000"/>
    <n v="0.05"/>
    <n v="3458000"/>
  </r>
  <r>
    <s v="V-1071"/>
    <d v="2026-06-30T00:00:00"/>
    <s v="Metropolitana"/>
    <x v="0"/>
    <s v="Calderas"/>
    <s v="Caldera Industrial C-100"/>
    <s v="Distribuidor"/>
    <n v="2"/>
    <n v="4200000"/>
    <n v="0.1"/>
    <n v="7560000"/>
  </r>
  <r>
    <s v="V-1072"/>
    <d v="2026-07-01T00:00:00"/>
    <s v="Biobío"/>
    <x v="2"/>
    <s v="Insumos"/>
    <s v="Kit de sellos"/>
    <s v="Directo"/>
    <n v="1"/>
    <n v="68000"/>
    <n v="0.15"/>
    <n v="57800"/>
  </r>
  <r>
    <s v="V-1073"/>
    <d v="2026-07-04T00:00:00"/>
    <s v="Antofagasta"/>
    <x v="4"/>
    <s v="Calderas"/>
    <s v="Caldera Compacta C-50"/>
    <s v="Distribuidor"/>
    <n v="2"/>
    <n v="2450000"/>
    <n v="0"/>
    <n v="4900000"/>
  </r>
  <r>
    <s v="V-1074"/>
    <d v="2026-07-06T00:00:00"/>
    <s v="Metropolitana"/>
    <x v="0"/>
    <s v="Repuestos"/>
    <s v="Quemador de reemplazo"/>
    <s v="Distribuidor"/>
    <n v="11"/>
    <n v="760000"/>
    <n v="0"/>
    <n v="8360000"/>
  </r>
  <r>
    <s v="V-1075"/>
    <d v="2026-07-09T00:00:00"/>
    <s v="Valparaíso"/>
    <x v="3"/>
    <s v="Servicios"/>
    <s v="Inspección anual"/>
    <s v="Online"/>
    <n v="3"/>
    <n v="310000"/>
    <n v="0.05"/>
    <n v="883500"/>
  </r>
  <r>
    <s v="V-1076"/>
    <d v="2026-07-12T00:00:00"/>
    <s v="Biobío"/>
    <x v="0"/>
    <s v="Repuestos"/>
    <s v="Válvula de seguridad"/>
    <s v="Online"/>
    <n v="3"/>
    <n v="185000"/>
    <n v="0"/>
    <n v="555000"/>
  </r>
  <r>
    <s v="V-1077"/>
    <d v="2026-07-15T00:00:00"/>
    <s v="Antofagasta"/>
    <x v="3"/>
    <s v="Repuestos"/>
    <s v="Quemador de reemplazo"/>
    <s v="Online"/>
    <n v="12"/>
    <n v="760000"/>
    <n v="0.1"/>
    <n v="8208000"/>
  </r>
  <r>
    <s v="V-1078"/>
    <d v="2026-07-17T00:00:00"/>
    <s v="Valparaíso"/>
    <x v="1"/>
    <s v="Servicios"/>
    <s v="Mantención preventiva"/>
    <s v="Distribuidor"/>
    <n v="2"/>
    <n v="520000"/>
    <n v="0"/>
    <n v="1040000"/>
  </r>
  <r>
    <s v="V-1079"/>
    <d v="2026-07-19T00:00:00"/>
    <s v="Biobío"/>
    <x v="3"/>
    <s v="Servicios"/>
    <s v="Inspección anual"/>
    <s v="Distribuidor"/>
    <n v="8"/>
    <n v="310000"/>
    <n v="0"/>
    <n v="2480000"/>
  </r>
  <r>
    <s v="V-1080"/>
    <d v="2026-07-21T00:00:00"/>
    <s v="Valparaíso"/>
    <x v="1"/>
    <s v="Repuestos"/>
    <s v="Sensor de temperatura"/>
    <s v="Online"/>
    <n v="6"/>
    <n v="94000"/>
    <n v="0.15"/>
    <n v="4794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V-1001"/>
    <x v="0"/>
    <x v="0"/>
    <x v="0"/>
    <s v="Servicios"/>
    <x v="0"/>
    <s v="Directo"/>
    <n v="4"/>
    <n v="520000"/>
    <n v="0"/>
    <n v="2080000"/>
  </r>
  <r>
    <s v="V-1002"/>
    <x v="1"/>
    <x v="1"/>
    <x v="1"/>
    <s v="Repuestos"/>
    <x v="1"/>
    <s v="Online"/>
    <n v="4"/>
    <n v="94000"/>
    <n v="0.05"/>
    <n v="357200"/>
  </r>
  <r>
    <s v="V-1003"/>
    <x v="2"/>
    <x v="1"/>
    <x v="2"/>
    <s v="Servicios"/>
    <x v="0"/>
    <s v="Online"/>
    <n v="8"/>
    <n v="520000"/>
    <n v="0.05"/>
    <n v="3952000"/>
  </r>
  <r>
    <s v="V-1004"/>
    <x v="3"/>
    <x v="0"/>
    <x v="3"/>
    <s v="Repuestos"/>
    <x v="2"/>
    <s v="Online"/>
    <n v="8"/>
    <n v="760000"/>
    <n v="0"/>
    <n v="6080000"/>
  </r>
  <r>
    <s v="V-1005"/>
    <x v="4"/>
    <x v="1"/>
    <x v="3"/>
    <s v="Servicios"/>
    <x v="3"/>
    <s v="Online"/>
    <n v="2"/>
    <n v="310000"/>
    <n v="0.15"/>
    <n v="527000"/>
  </r>
  <r>
    <s v="V-1006"/>
    <x v="5"/>
    <x v="1"/>
    <x v="3"/>
    <s v="Repuestos"/>
    <x v="1"/>
    <s v="Distribuidor"/>
    <n v="5"/>
    <n v="94000"/>
    <n v="0"/>
    <n v="470000"/>
  </r>
  <r>
    <s v="V-1007"/>
    <x v="6"/>
    <x v="1"/>
    <x v="4"/>
    <s v="Calderas"/>
    <x v="4"/>
    <s v="Distribuidor"/>
    <n v="1"/>
    <n v="2450000"/>
    <n v="0.05"/>
    <n v="2327500"/>
  </r>
  <r>
    <s v="V-1008"/>
    <x v="7"/>
    <x v="2"/>
    <x v="3"/>
    <s v="Repuestos"/>
    <x v="5"/>
    <s v="Directo"/>
    <n v="3"/>
    <n v="185000"/>
    <n v="0.1"/>
    <n v="499500"/>
  </r>
  <r>
    <s v="V-1009"/>
    <x v="8"/>
    <x v="3"/>
    <x v="0"/>
    <s v="Servicios"/>
    <x v="3"/>
    <s v="Distribuidor"/>
    <n v="11"/>
    <n v="310000"/>
    <n v="0.05"/>
    <n v="3239500"/>
  </r>
  <r>
    <s v="V-1010"/>
    <x v="9"/>
    <x v="2"/>
    <x v="0"/>
    <s v="Calderas"/>
    <x v="4"/>
    <s v="Online"/>
    <n v="2"/>
    <n v="2450000"/>
    <n v="0"/>
    <n v="4900000"/>
  </r>
  <r>
    <s v="V-1011"/>
    <x v="10"/>
    <x v="2"/>
    <x v="2"/>
    <s v="Servicios"/>
    <x v="0"/>
    <s v="Online"/>
    <n v="1"/>
    <n v="520000"/>
    <n v="0.1"/>
    <n v="468000"/>
  </r>
  <r>
    <s v="V-1012"/>
    <x v="11"/>
    <x v="0"/>
    <x v="3"/>
    <s v="Servicios"/>
    <x v="3"/>
    <s v="Directo"/>
    <n v="1"/>
    <n v="310000"/>
    <n v="0.15"/>
    <n v="263500"/>
  </r>
  <r>
    <s v="V-1013"/>
    <x v="12"/>
    <x v="2"/>
    <x v="1"/>
    <s v="Servicios"/>
    <x v="0"/>
    <s v="Online"/>
    <n v="4"/>
    <n v="520000"/>
    <n v="0"/>
    <n v="2080000"/>
  </r>
  <r>
    <s v="V-1014"/>
    <x v="13"/>
    <x v="3"/>
    <x v="4"/>
    <s v="Calderas"/>
    <x v="6"/>
    <s v="Distribuidor"/>
    <n v="1"/>
    <n v="4200000"/>
    <n v="0"/>
    <n v="4200000"/>
  </r>
  <r>
    <s v="V-1015"/>
    <x v="14"/>
    <x v="3"/>
    <x v="3"/>
    <s v="Servicios"/>
    <x v="3"/>
    <s v="Online"/>
    <n v="7"/>
    <n v="310000"/>
    <n v="0.15"/>
    <n v="1844500"/>
  </r>
  <r>
    <s v="V-1016"/>
    <x v="15"/>
    <x v="0"/>
    <x v="0"/>
    <s v="Calderas"/>
    <x v="6"/>
    <s v="Directo"/>
    <n v="2"/>
    <n v="4200000"/>
    <n v="0.1"/>
    <n v="7560000"/>
  </r>
  <r>
    <s v="V-1017"/>
    <x v="16"/>
    <x v="3"/>
    <x v="0"/>
    <s v="Repuestos"/>
    <x v="1"/>
    <s v="Online"/>
    <n v="9"/>
    <n v="94000"/>
    <n v="0.05"/>
    <n v="803700"/>
  </r>
  <r>
    <s v="V-1018"/>
    <x v="17"/>
    <x v="2"/>
    <x v="4"/>
    <s v="Servicios"/>
    <x v="0"/>
    <s v="Online"/>
    <n v="8"/>
    <n v="520000"/>
    <n v="0.15"/>
    <n v="3536000"/>
  </r>
  <r>
    <s v="V-1019"/>
    <x v="18"/>
    <x v="2"/>
    <x v="0"/>
    <s v="Insumos"/>
    <x v="7"/>
    <s v="Online"/>
    <n v="7"/>
    <n v="68000"/>
    <n v="0"/>
    <n v="476000"/>
  </r>
  <r>
    <s v="V-1020"/>
    <x v="19"/>
    <x v="0"/>
    <x v="0"/>
    <s v="Repuestos"/>
    <x v="5"/>
    <s v="Directo"/>
    <n v="9"/>
    <n v="185000"/>
    <n v="0"/>
    <n v="1665000"/>
  </r>
  <r>
    <s v="V-1021"/>
    <x v="20"/>
    <x v="0"/>
    <x v="1"/>
    <s v="Calderas"/>
    <x v="4"/>
    <s v="Distribuidor"/>
    <n v="2"/>
    <n v="2450000"/>
    <n v="0.15"/>
    <n v="4165000"/>
  </r>
  <r>
    <s v="V-1022"/>
    <x v="21"/>
    <x v="1"/>
    <x v="3"/>
    <s v="Insumos"/>
    <x v="7"/>
    <s v="Directo"/>
    <n v="2"/>
    <n v="68000"/>
    <n v="0"/>
    <n v="136000"/>
  </r>
  <r>
    <s v="V-1023"/>
    <x v="22"/>
    <x v="0"/>
    <x v="0"/>
    <s v="Servicios"/>
    <x v="3"/>
    <s v="Online"/>
    <n v="3"/>
    <n v="310000"/>
    <n v="0.15"/>
    <n v="790500"/>
  </r>
  <r>
    <s v="V-1024"/>
    <x v="23"/>
    <x v="1"/>
    <x v="0"/>
    <s v="Calderas"/>
    <x v="6"/>
    <s v="Directo"/>
    <n v="2"/>
    <n v="4200000"/>
    <n v="0.05"/>
    <n v="7980000"/>
  </r>
  <r>
    <s v="V-1025"/>
    <x v="24"/>
    <x v="3"/>
    <x v="1"/>
    <s v="Servicios"/>
    <x v="3"/>
    <s v="Directo"/>
    <n v="2"/>
    <n v="310000"/>
    <n v="0.05"/>
    <n v="589000"/>
  </r>
  <r>
    <s v="V-1026"/>
    <x v="25"/>
    <x v="0"/>
    <x v="4"/>
    <s v="Repuestos"/>
    <x v="2"/>
    <s v="Distribuidor"/>
    <n v="3"/>
    <n v="760000"/>
    <n v="0.1"/>
    <n v="2052000"/>
  </r>
  <r>
    <s v="V-1027"/>
    <x v="26"/>
    <x v="2"/>
    <x v="3"/>
    <s v="Repuestos"/>
    <x v="5"/>
    <s v="Online"/>
    <n v="6"/>
    <n v="185000"/>
    <n v="0"/>
    <n v="1110000"/>
  </r>
  <r>
    <s v="V-1028"/>
    <x v="27"/>
    <x v="2"/>
    <x v="2"/>
    <s v="Servicios"/>
    <x v="0"/>
    <s v="Online"/>
    <n v="1"/>
    <n v="520000"/>
    <n v="0"/>
    <n v="520000"/>
  </r>
  <r>
    <s v="V-1029"/>
    <x v="28"/>
    <x v="2"/>
    <x v="3"/>
    <s v="Repuestos"/>
    <x v="2"/>
    <s v="Directo"/>
    <n v="12"/>
    <n v="760000"/>
    <n v="0.05"/>
    <n v="8664000"/>
  </r>
  <r>
    <s v="V-1030"/>
    <x v="29"/>
    <x v="3"/>
    <x v="1"/>
    <s v="Insumos"/>
    <x v="7"/>
    <s v="Online"/>
    <n v="8"/>
    <n v="68000"/>
    <n v="0"/>
    <n v="544000"/>
  </r>
  <r>
    <s v="V-1031"/>
    <x v="30"/>
    <x v="1"/>
    <x v="2"/>
    <s v="Repuestos"/>
    <x v="2"/>
    <s v="Directo"/>
    <n v="8"/>
    <n v="760000"/>
    <n v="0.15"/>
    <n v="5168000"/>
  </r>
  <r>
    <s v="V-1032"/>
    <x v="31"/>
    <x v="1"/>
    <x v="2"/>
    <s v="Calderas"/>
    <x v="6"/>
    <s v="Directo"/>
    <n v="2"/>
    <n v="4200000"/>
    <n v="0.15"/>
    <n v="7140000"/>
  </r>
  <r>
    <s v="V-1033"/>
    <x v="32"/>
    <x v="0"/>
    <x v="0"/>
    <s v="Repuestos"/>
    <x v="5"/>
    <s v="Online"/>
    <n v="2"/>
    <n v="185000"/>
    <n v="0"/>
    <n v="370000"/>
  </r>
  <r>
    <s v="V-1034"/>
    <x v="33"/>
    <x v="1"/>
    <x v="3"/>
    <s v="Insumos"/>
    <x v="7"/>
    <s v="Online"/>
    <n v="11"/>
    <n v="68000"/>
    <n v="0.05"/>
    <n v="710600"/>
  </r>
  <r>
    <s v="V-1035"/>
    <x v="34"/>
    <x v="1"/>
    <x v="4"/>
    <s v="Servicios"/>
    <x v="3"/>
    <s v="Online"/>
    <n v="6"/>
    <n v="310000"/>
    <n v="0"/>
    <n v="1860000"/>
  </r>
  <r>
    <s v="V-1036"/>
    <x v="35"/>
    <x v="3"/>
    <x v="4"/>
    <s v="Calderas"/>
    <x v="4"/>
    <s v="Online"/>
    <n v="2"/>
    <n v="2450000"/>
    <n v="0"/>
    <n v="4900000"/>
  </r>
  <r>
    <s v="V-1037"/>
    <x v="36"/>
    <x v="0"/>
    <x v="2"/>
    <s v="Servicios"/>
    <x v="0"/>
    <s v="Online"/>
    <n v="12"/>
    <n v="520000"/>
    <n v="0.05"/>
    <n v="5928000"/>
  </r>
  <r>
    <s v="V-1038"/>
    <x v="37"/>
    <x v="2"/>
    <x v="2"/>
    <s v="Calderas"/>
    <x v="6"/>
    <s v="Distribuidor"/>
    <n v="2"/>
    <n v="4200000"/>
    <n v="0"/>
    <n v="8400000"/>
  </r>
  <r>
    <s v="V-1039"/>
    <x v="38"/>
    <x v="2"/>
    <x v="0"/>
    <s v="Calderas"/>
    <x v="4"/>
    <s v="Distribuidor"/>
    <n v="1"/>
    <n v="2450000"/>
    <n v="0"/>
    <n v="2450000"/>
  </r>
  <r>
    <s v="V-1040"/>
    <x v="39"/>
    <x v="3"/>
    <x v="3"/>
    <s v="Insumos"/>
    <x v="7"/>
    <s v="Directo"/>
    <n v="11"/>
    <n v="68000"/>
    <n v="0.05"/>
    <n v="710600"/>
  </r>
  <r>
    <s v="V-1041"/>
    <x v="40"/>
    <x v="0"/>
    <x v="0"/>
    <s v="Repuestos"/>
    <x v="1"/>
    <s v="Distribuidor"/>
    <n v="5"/>
    <n v="94000"/>
    <n v="0"/>
    <n v="470000"/>
  </r>
  <r>
    <s v="V-1042"/>
    <x v="41"/>
    <x v="0"/>
    <x v="2"/>
    <s v="Repuestos"/>
    <x v="2"/>
    <s v="Distribuidor"/>
    <n v="9"/>
    <n v="760000"/>
    <n v="0.05"/>
    <n v="6498000"/>
  </r>
  <r>
    <s v="V-1043"/>
    <x v="42"/>
    <x v="0"/>
    <x v="0"/>
    <s v="Insumos"/>
    <x v="7"/>
    <s v="Directo"/>
    <n v="1"/>
    <n v="68000"/>
    <n v="0"/>
    <n v="68000"/>
  </r>
  <r>
    <s v="V-1044"/>
    <x v="43"/>
    <x v="3"/>
    <x v="0"/>
    <s v="Repuestos"/>
    <x v="5"/>
    <s v="Directo"/>
    <n v="11"/>
    <n v="185000"/>
    <n v="0.05"/>
    <n v="1933250"/>
  </r>
  <r>
    <s v="V-1045"/>
    <x v="44"/>
    <x v="2"/>
    <x v="0"/>
    <s v="Insumos"/>
    <x v="7"/>
    <s v="Online"/>
    <n v="6"/>
    <n v="68000"/>
    <n v="0"/>
    <n v="408000"/>
  </r>
  <r>
    <s v="V-1046"/>
    <x v="45"/>
    <x v="1"/>
    <x v="1"/>
    <s v="Servicios"/>
    <x v="3"/>
    <s v="Distribuidor"/>
    <n v="10"/>
    <n v="310000"/>
    <n v="0"/>
    <n v="3100000"/>
  </r>
  <r>
    <s v="V-1047"/>
    <x v="46"/>
    <x v="2"/>
    <x v="2"/>
    <s v="Repuestos"/>
    <x v="2"/>
    <s v="Online"/>
    <n v="4"/>
    <n v="760000"/>
    <n v="0"/>
    <n v="3040000"/>
  </r>
  <r>
    <s v="V-1048"/>
    <x v="47"/>
    <x v="2"/>
    <x v="4"/>
    <s v="Calderas"/>
    <x v="6"/>
    <s v="Distribuidor"/>
    <n v="2"/>
    <n v="4200000"/>
    <n v="0"/>
    <n v="8400000"/>
  </r>
  <r>
    <s v="V-1049"/>
    <x v="48"/>
    <x v="3"/>
    <x v="2"/>
    <s v="Repuestos"/>
    <x v="2"/>
    <s v="Distribuidor"/>
    <n v="3"/>
    <n v="760000"/>
    <n v="0"/>
    <n v="2280000"/>
  </r>
  <r>
    <s v="V-1050"/>
    <x v="49"/>
    <x v="1"/>
    <x v="3"/>
    <s v="Repuestos"/>
    <x v="2"/>
    <s v="Directo"/>
    <n v="8"/>
    <n v="760000"/>
    <n v="0"/>
    <n v="6080000"/>
  </r>
  <r>
    <s v="V-1051"/>
    <x v="50"/>
    <x v="2"/>
    <x v="0"/>
    <s v="Servicios"/>
    <x v="0"/>
    <s v="Distribuidor"/>
    <n v="1"/>
    <n v="520000"/>
    <n v="0.05"/>
    <n v="494000"/>
  </r>
  <r>
    <s v="V-1052"/>
    <x v="51"/>
    <x v="1"/>
    <x v="4"/>
    <s v="Repuestos"/>
    <x v="2"/>
    <s v="Online"/>
    <n v="10"/>
    <n v="760000"/>
    <n v="0"/>
    <n v="7600000"/>
  </r>
  <r>
    <s v="V-1053"/>
    <x v="52"/>
    <x v="0"/>
    <x v="3"/>
    <s v="Calderas"/>
    <x v="6"/>
    <s v="Online"/>
    <n v="1"/>
    <n v="4200000"/>
    <n v="0"/>
    <n v="4200000"/>
  </r>
  <r>
    <s v="V-1054"/>
    <x v="53"/>
    <x v="2"/>
    <x v="0"/>
    <s v="Calderas"/>
    <x v="4"/>
    <s v="Directo"/>
    <n v="1"/>
    <n v="2450000"/>
    <n v="0.1"/>
    <n v="2205000"/>
  </r>
  <r>
    <s v="V-1055"/>
    <x v="54"/>
    <x v="1"/>
    <x v="3"/>
    <s v="Calderas"/>
    <x v="6"/>
    <s v="Directo"/>
    <n v="2"/>
    <n v="4200000"/>
    <n v="0.05"/>
    <n v="7980000"/>
  </r>
  <r>
    <s v="V-1056"/>
    <x v="55"/>
    <x v="0"/>
    <x v="0"/>
    <s v="Repuestos"/>
    <x v="5"/>
    <s v="Online"/>
    <n v="10"/>
    <n v="185000"/>
    <n v="0.05"/>
    <n v="1757500"/>
  </r>
  <r>
    <s v="V-1057"/>
    <x v="56"/>
    <x v="1"/>
    <x v="2"/>
    <s v="Servicios"/>
    <x v="3"/>
    <s v="Online"/>
    <n v="10"/>
    <n v="310000"/>
    <n v="0.05"/>
    <n v="2945000"/>
  </r>
  <r>
    <s v="V-1058"/>
    <x v="57"/>
    <x v="1"/>
    <x v="2"/>
    <s v="Calderas"/>
    <x v="6"/>
    <s v="Distribuidor"/>
    <n v="2"/>
    <n v="4200000"/>
    <n v="0.05"/>
    <n v="7980000"/>
  </r>
  <r>
    <s v="V-1059"/>
    <x v="58"/>
    <x v="1"/>
    <x v="0"/>
    <s v="Servicios"/>
    <x v="3"/>
    <s v="Directo"/>
    <n v="7"/>
    <n v="310000"/>
    <n v="0"/>
    <n v="2170000"/>
  </r>
  <r>
    <s v="V-1060"/>
    <x v="59"/>
    <x v="2"/>
    <x v="4"/>
    <s v="Repuestos"/>
    <x v="1"/>
    <s v="Distribuidor"/>
    <n v="11"/>
    <n v="94000"/>
    <n v="0"/>
    <n v="1034000"/>
  </r>
  <r>
    <s v="V-1061"/>
    <x v="60"/>
    <x v="1"/>
    <x v="1"/>
    <s v="Calderas"/>
    <x v="4"/>
    <s v="Online"/>
    <n v="2"/>
    <n v="2450000"/>
    <n v="0.05"/>
    <n v="4655000"/>
  </r>
  <r>
    <s v="V-1062"/>
    <x v="61"/>
    <x v="2"/>
    <x v="0"/>
    <s v="Insumos"/>
    <x v="7"/>
    <s v="Distribuidor"/>
    <n v="4"/>
    <n v="68000"/>
    <n v="0"/>
    <n v="272000"/>
  </r>
  <r>
    <s v="V-1063"/>
    <x v="62"/>
    <x v="1"/>
    <x v="3"/>
    <s v="Insumos"/>
    <x v="7"/>
    <s v="Online"/>
    <n v="1"/>
    <n v="68000"/>
    <n v="0.1"/>
    <n v="61200"/>
  </r>
  <r>
    <s v="V-1064"/>
    <x v="63"/>
    <x v="1"/>
    <x v="4"/>
    <s v="Servicios"/>
    <x v="0"/>
    <s v="Distribuidor"/>
    <n v="11"/>
    <n v="520000"/>
    <n v="0.15"/>
    <n v="4862000"/>
  </r>
  <r>
    <s v="V-1065"/>
    <x v="64"/>
    <x v="1"/>
    <x v="0"/>
    <s v="Servicios"/>
    <x v="3"/>
    <s v="Directo"/>
    <n v="4"/>
    <n v="310000"/>
    <n v="0"/>
    <n v="1240000"/>
  </r>
  <r>
    <s v="V-1066"/>
    <x v="65"/>
    <x v="0"/>
    <x v="1"/>
    <s v="Repuestos"/>
    <x v="5"/>
    <s v="Online"/>
    <n v="11"/>
    <n v="185000"/>
    <n v="0"/>
    <n v="2035000"/>
  </r>
  <r>
    <s v="V-1067"/>
    <x v="66"/>
    <x v="3"/>
    <x v="4"/>
    <s v="Repuestos"/>
    <x v="2"/>
    <s v="Distribuidor"/>
    <n v="11"/>
    <n v="760000"/>
    <n v="0.05"/>
    <n v="7942000"/>
  </r>
  <r>
    <s v="V-1068"/>
    <x v="67"/>
    <x v="2"/>
    <x v="2"/>
    <s v="Calderas"/>
    <x v="4"/>
    <s v="Online"/>
    <n v="2"/>
    <n v="2450000"/>
    <n v="0"/>
    <n v="4900000"/>
  </r>
  <r>
    <s v="V-1069"/>
    <x v="68"/>
    <x v="3"/>
    <x v="1"/>
    <s v="Repuestos"/>
    <x v="1"/>
    <s v="Online"/>
    <n v="8"/>
    <n v="94000"/>
    <n v="0.05"/>
    <n v="714400"/>
  </r>
  <r>
    <s v="V-1070"/>
    <x v="69"/>
    <x v="0"/>
    <x v="1"/>
    <s v="Servicios"/>
    <x v="0"/>
    <s v="Online"/>
    <n v="7"/>
    <n v="520000"/>
    <n v="0.05"/>
    <n v="3458000"/>
  </r>
  <r>
    <s v="V-1071"/>
    <x v="70"/>
    <x v="1"/>
    <x v="0"/>
    <s v="Calderas"/>
    <x v="6"/>
    <s v="Distribuidor"/>
    <n v="2"/>
    <n v="4200000"/>
    <n v="0.1"/>
    <n v="7560000"/>
  </r>
  <r>
    <s v="V-1072"/>
    <x v="71"/>
    <x v="0"/>
    <x v="2"/>
    <s v="Insumos"/>
    <x v="7"/>
    <s v="Directo"/>
    <n v="1"/>
    <n v="68000"/>
    <n v="0.15"/>
    <n v="57800"/>
  </r>
  <r>
    <s v="V-1073"/>
    <x v="72"/>
    <x v="2"/>
    <x v="4"/>
    <s v="Calderas"/>
    <x v="4"/>
    <s v="Distribuidor"/>
    <n v="2"/>
    <n v="2450000"/>
    <n v="0"/>
    <n v="4900000"/>
  </r>
  <r>
    <s v="V-1074"/>
    <x v="73"/>
    <x v="1"/>
    <x v="0"/>
    <s v="Repuestos"/>
    <x v="2"/>
    <s v="Distribuidor"/>
    <n v="11"/>
    <n v="760000"/>
    <n v="0"/>
    <n v="8360000"/>
  </r>
  <r>
    <s v="V-1075"/>
    <x v="74"/>
    <x v="3"/>
    <x v="3"/>
    <s v="Servicios"/>
    <x v="3"/>
    <s v="Online"/>
    <n v="3"/>
    <n v="310000"/>
    <n v="0.05"/>
    <n v="883500"/>
  </r>
  <r>
    <s v="V-1076"/>
    <x v="75"/>
    <x v="0"/>
    <x v="0"/>
    <s v="Repuestos"/>
    <x v="5"/>
    <s v="Online"/>
    <n v="3"/>
    <n v="185000"/>
    <n v="0"/>
    <n v="555000"/>
  </r>
  <r>
    <s v="V-1077"/>
    <x v="76"/>
    <x v="2"/>
    <x v="3"/>
    <s v="Repuestos"/>
    <x v="2"/>
    <s v="Online"/>
    <n v="12"/>
    <n v="760000"/>
    <n v="0.1"/>
    <n v="8208000"/>
  </r>
  <r>
    <s v="V-1078"/>
    <x v="77"/>
    <x v="3"/>
    <x v="1"/>
    <s v="Servicios"/>
    <x v="0"/>
    <s v="Distribuidor"/>
    <n v="2"/>
    <n v="520000"/>
    <n v="0"/>
    <n v="1040000"/>
  </r>
  <r>
    <s v="V-1079"/>
    <x v="78"/>
    <x v="0"/>
    <x v="3"/>
    <s v="Servicios"/>
    <x v="3"/>
    <s v="Distribuidor"/>
    <n v="8"/>
    <n v="310000"/>
    <n v="0"/>
    <n v="2480000"/>
  </r>
  <r>
    <s v="V-1080"/>
    <x v="79"/>
    <x v="3"/>
    <x v="1"/>
    <s v="Repuestos"/>
    <x v="1"/>
    <s v="Online"/>
    <n v="6"/>
    <n v="94000"/>
    <n v="0.15"/>
    <n v="479400"/>
  </r>
  <r>
    <m/>
    <x v="80"/>
    <x v="4"/>
    <x v="5"/>
    <m/>
    <x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AE3D3-3AE0-4FF6-90C3-EF3E70E6956A}" name="TablaDinámica15" cacheId="19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1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a de Venta neta" fld="10" baseField="0" baseItem="0" numFmtId="17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A20DDE-905B-4AAA-9023-26A89A645123}" name="TablaDinámica44" cacheId="5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I11" firstHeaderRow="1" firstDataRow="4" firstDataCol="1"/>
  <pivotFields count="13">
    <pivotField showAll="0"/>
    <pivotField axis="axisCol" showAll="0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axis="axisRow" showAll="0">
      <items count="6">
        <item x="2"/>
        <item x="0"/>
        <item x="1"/>
        <item x="3"/>
        <item h="1" x="4"/>
        <item t="default"/>
      </items>
    </pivotField>
    <pivotField showAll="0">
      <items count="7">
        <item x="4"/>
        <item x="3"/>
        <item x="1"/>
        <item x="2"/>
        <item x="0"/>
        <item h="1" x="5"/>
        <item t="default"/>
      </items>
    </pivotField>
    <pivotField showAll="0"/>
    <pivotField showAll="0">
      <items count="10">
        <item x="4"/>
        <item x="6"/>
        <item x="3"/>
        <item x="7"/>
        <item x="0"/>
        <item x="2"/>
        <item x="1"/>
        <item x="5"/>
        <item x="8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3">
    <field x="12"/>
    <field x="11"/>
    <field x="1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a de Venta neta" fld="10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9611666-45C8-4F91-AEF3-A129587790C0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56f6081c-84ff-4a6b-986e-837aacd9cb1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61C3584-1150-4E1A-AED6-E1CFEB4A80D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8527ef1-cbf4-4bbc-972d-a15eed13d64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2309-7C03-4AC0-80D7-3A4A25FAF1DD}">
  <dimension ref="B1:J7"/>
  <sheetViews>
    <sheetView workbookViewId="0">
      <selection activeCell="J2" sqref="J2"/>
    </sheetView>
  </sheetViews>
  <sheetFormatPr baseColWidth="10" defaultRowHeight="15" x14ac:dyDescent="0.25"/>
  <cols>
    <col min="1" max="1" width="10.42578125" bestFit="1" customWidth="1"/>
    <col min="2" max="3" width="9.28515625" bestFit="1" customWidth="1"/>
    <col min="4" max="4" width="13.5703125" bestFit="1" customWidth="1"/>
    <col min="5" max="5" width="12.140625" bestFit="1" customWidth="1"/>
    <col min="6" max="6" width="10.42578125" bestFit="1" customWidth="1"/>
    <col min="7" max="7" width="12.42578125" bestFit="1" customWidth="1"/>
    <col min="8" max="8" width="12.7109375" customWidth="1"/>
    <col min="9" max="9" width="8.42578125" bestFit="1" customWidth="1"/>
    <col min="10" max="10" width="30.42578125" customWidth="1"/>
    <col min="11" max="11" width="19.85546875" bestFit="1" customWidth="1"/>
  </cols>
  <sheetData>
    <row r="1" spans="2:10" x14ac:dyDescent="0.25">
      <c r="B1" t="s">
        <v>115</v>
      </c>
      <c r="H1" t="s">
        <v>10</v>
      </c>
    </row>
    <row r="2" spans="2:10" x14ac:dyDescent="0.25">
      <c r="B2">
        <v>0.19</v>
      </c>
      <c r="H2" s="9">
        <v>2080000</v>
      </c>
      <c r="J2" s="9">
        <f>SUM(H2:H7)</f>
        <v>13466200</v>
      </c>
    </row>
    <row r="3" spans="2:10" x14ac:dyDescent="0.25">
      <c r="H3" s="9">
        <v>357200</v>
      </c>
    </row>
    <row r="4" spans="2:10" x14ac:dyDescent="0.25">
      <c r="H4" s="9">
        <v>3952000</v>
      </c>
    </row>
    <row r="5" spans="2:10" x14ac:dyDescent="0.25">
      <c r="H5" s="9">
        <v>6080000</v>
      </c>
    </row>
    <row r="6" spans="2:10" x14ac:dyDescent="0.25">
      <c r="H6" s="9">
        <v>527000</v>
      </c>
    </row>
    <row r="7" spans="2:10" x14ac:dyDescent="0.25">
      <c r="H7" s="9">
        <v>470000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613D-17DB-4A0B-AD4F-F1243D61948D}">
  <dimension ref="A3:B8"/>
  <sheetViews>
    <sheetView workbookViewId="0">
      <selection activeCell="I11" sqref="I11"/>
    </sheetView>
  </sheetViews>
  <sheetFormatPr baseColWidth="10" defaultRowHeight="15" x14ac:dyDescent="0.25"/>
  <cols>
    <col min="1" max="1" width="13.42578125" bestFit="1" customWidth="1"/>
    <col min="2" max="2" width="18.85546875" bestFit="1" customWidth="1"/>
  </cols>
  <sheetData>
    <row r="3" spans="1:2" x14ac:dyDescent="0.25">
      <c r="A3" s="12" t="s">
        <v>3</v>
      </c>
      <c r="B3" t="s">
        <v>116</v>
      </c>
    </row>
    <row r="4" spans="1:2" x14ac:dyDescent="0.25">
      <c r="A4" t="s">
        <v>33</v>
      </c>
      <c r="B4" s="11">
        <v>53613500</v>
      </c>
    </row>
    <row r="5" spans="1:2" x14ac:dyDescent="0.25">
      <c r="A5" t="s">
        <v>26</v>
      </c>
      <c r="B5" s="11">
        <v>50908400</v>
      </c>
    </row>
    <row r="6" spans="1:2" x14ac:dyDescent="0.25">
      <c r="A6" t="s">
        <v>19</v>
      </c>
      <c r="B6" s="11">
        <v>23217000</v>
      </c>
    </row>
    <row r="7" spans="1:2" x14ac:dyDescent="0.25">
      <c r="A7" t="s">
        <v>24</v>
      </c>
      <c r="B7" s="11">
        <v>59276800</v>
      </c>
    </row>
    <row r="8" spans="1:2" x14ac:dyDescent="0.25">
      <c r="A8" t="s">
        <v>13</v>
      </c>
      <c r="B8" s="11">
        <v>59807450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5BA7-5D27-4024-9712-352CD6CF80CC}">
  <dimension ref="A3:I11"/>
  <sheetViews>
    <sheetView zoomScaleNormal="100" workbookViewId="0">
      <selection activeCell="E14" sqref="E14"/>
    </sheetView>
  </sheetViews>
  <sheetFormatPr baseColWidth="10" defaultRowHeight="15" x14ac:dyDescent="0.25"/>
  <cols>
    <col min="1" max="1" width="18.85546875" bestFit="1" customWidth="1"/>
    <col min="2" max="2" width="12.28515625" customWidth="1"/>
    <col min="3" max="8" width="10.42578125" bestFit="1" customWidth="1"/>
    <col min="9" max="10" width="12.5703125" bestFit="1" customWidth="1"/>
    <col min="11" max="11" width="9.42578125" bestFit="1" customWidth="1"/>
    <col min="12" max="12" width="9" bestFit="1" customWidth="1"/>
    <col min="13" max="19" width="10.42578125" bestFit="1" customWidth="1"/>
    <col min="20" max="20" width="12.5703125" bestFit="1" customWidth="1"/>
    <col min="21" max="81" width="10.7109375" bestFit="1" customWidth="1"/>
    <col min="82" max="82" width="11.140625" bestFit="1" customWidth="1"/>
    <col min="83" max="83" width="12.5703125" bestFit="1" customWidth="1"/>
  </cols>
  <sheetData>
    <row r="3" spans="1:9" x14ac:dyDescent="0.25">
      <c r="A3" s="12" t="s">
        <v>116</v>
      </c>
      <c r="B3" s="12" t="s">
        <v>119</v>
      </c>
    </row>
    <row r="4" spans="1:9" x14ac:dyDescent="0.25"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118</v>
      </c>
    </row>
    <row r="6" spans="1:9" x14ac:dyDescent="0.25">
      <c r="A6" s="12" t="s">
        <v>117</v>
      </c>
    </row>
    <row r="7" spans="1:9" x14ac:dyDescent="0.25">
      <c r="A7" s="13" t="s">
        <v>37</v>
      </c>
      <c r="B7" s="9">
        <v>5867500</v>
      </c>
      <c r="C7" s="9">
        <v>6092000</v>
      </c>
      <c r="D7" s="9">
        <v>10294000</v>
      </c>
      <c r="E7" s="9">
        <v>14298000</v>
      </c>
      <c r="F7" s="9">
        <v>11099000</v>
      </c>
      <c r="G7" s="9">
        <v>6206000</v>
      </c>
      <c r="H7" s="9">
        <v>13108000</v>
      </c>
      <c r="I7" s="9">
        <v>66964500</v>
      </c>
    </row>
    <row r="8" spans="1:9" x14ac:dyDescent="0.25">
      <c r="A8" s="13" t="s">
        <v>12</v>
      </c>
      <c r="B8" s="9">
        <v>8160000</v>
      </c>
      <c r="C8" s="9">
        <v>13653500</v>
      </c>
      <c r="D8" s="9">
        <v>3212500</v>
      </c>
      <c r="E8" s="9">
        <v>12964000</v>
      </c>
      <c r="F8" s="9">
        <v>5957500</v>
      </c>
      <c r="G8" s="9">
        <v>5493000</v>
      </c>
      <c r="H8" s="9">
        <v>3092800</v>
      </c>
      <c r="I8" s="9">
        <v>52533300</v>
      </c>
    </row>
    <row r="9" spans="1:9" x14ac:dyDescent="0.25">
      <c r="A9" s="13" t="s">
        <v>18</v>
      </c>
      <c r="B9" s="9">
        <v>7633700</v>
      </c>
      <c r="C9" s="9">
        <v>136000</v>
      </c>
      <c r="D9" s="9">
        <v>22858600</v>
      </c>
      <c r="E9" s="9">
        <v>3100000</v>
      </c>
      <c r="F9" s="9">
        <v>34755000</v>
      </c>
      <c r="G9" s="9">
        <v>18378200</v>
      </c>
      <c r="H9" s="9">
        <v>8360000</v>
      </c>
      <c r="I9" s="9">
        <v>95221500</v>
      </c>
    </row>
    <row r="10" spans="1:9" x14ac:dyDescent="0.25">
      <c r="A10" s="13" t="s">
        <v>40</v>
      </c>
      <c r="B10" s="9">
        <v>3239500</v>
      </c>
      <c r="C10" s="9">
        <v>6848200</v>
      </c>
      <c r="D10" s="9">
        <v>1133000</v>
      </c>
      <c r="E10" s="9">
        <v>7543850</v>
      </c>
      <c r="F10" s="9">
        <v>2280000</v>
      </c>
      <c r="G10" s="9">
        <v>8656400</v>
      </c>
      <c r="H10" s="9">
        <v>2402900</v>
      </c>
      <c r="I10" s="9">
        <v>32103850</v>
      </c>
    </row>
    <row r="11" spans="1:9" x14ac:dyDescent="0.25">
      <c r="A11" s="13" t="s">
        <v>118</v>
      </c>
      <c r="B11" s="9">
        <v>24900700</v>
      </c>
      <c r="C11" s="9">
        <v>26729700</v>
      </c>
      <c r="D11" s="9">
        <v>37498100</v>
      </c>
      <c r="E11" s="9">
        <v>37905850</v>
      </c>
      <c r="F11" s="9">
        <v>54091500</v>
      </c>
      <c r="G11" s="9">
        <v>38733600</v>
      </c>
      <c r="H11" s="9">
        <v>26963700</v>
      </c>
      <c r="I11" s="9">
        <v>246823150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0476-4C46-4B34-9691-D98AE33B6AAC}">
  <dimension ref="A1:J4"/>
  <sheetViews>
    <sheetView workbookViewId="0">
      <selection activeCell="B5" sqref="B5"/>
    </sheetView>
  </sheetViews>
  <sheetFormatPr baseColWidth="10" defaultRowHeight="15" x14ac:dyDescent="0.25"/>
  <cols>
    <col min="1" max="1" width="14.85546875" customWidth="1"/>
    <col min="7" max="7" width="14.140625" bestFit="1" customWidth="1"/>
  </cols>
  <sheetData>
    <row r="1" spans="1:10" x14ac:dyDescent="0.25">
      <c r="A1" s="5" t="s">
        <v>7</v>
      </c>
      <c r="B1" s="2">
        <v>8</v>
      </c>
      <c r="G1" t="s">
        <v>127</v>
      </c>
      <c r="H1" t="s">
        <v>7</v>
      </c>
      <c r="I1" s="14" t="s">
        <v>9</v>
      </c>
      <c r="J1" t="s">
        <v>10</v>
      </c>
    </row>
    <row r="2" spans="1:10" x14ac:dyDescent="0.25">
      <c r="A2" s="5" t="s">
        <v>8</v>
      </c>
      <c r="B2" s="15">
        <v>520000</v>
      </c>
      <c r="G2" t="s">
        <v>128</v>
      </c>
      <c r="H2">
        <v>4</v>
      </c>
      <c r="I2" s="14">
        <v>0</v>
      </c>
      <c r="J2" t="s">
        <v>129</v>
      </c>
    </row>
    <row r="3" spans="1:10" x14ac:dyDescent="0.25">
      <c r="A3" s="5" t="s">
        <v>9</v>
      </c>
      <c r="B3" s="16">
        <v>0.05</v>
      </c>
      <c r="G3" t="s">
        <v>130</v>
      </c>
      <c r="H3">
        <v>6</v>
      </c>
      <c r="I3" s="14">
        <v>0.1</v>
      </c>
      <c r="J3" t="s">
        <v>131</v>
      </c>
    </row>
    <row r="4" spans="1:10" x14ac:dyDescent="0.25">
      <c r="A4" s="5" t="s">
        <v>10</v>
      </c>
      <c r="B4" s="2">
        <f>B1*B2*(1-B3)</f>
        <v>3952000</v>
      </c>
      <c r="G4" t="s">
        <v>132</v>
      </c>
      <c r="H4">
        <v>8</v>
      </c>
      <c r="I4" s="14">
        <v>0.05</v>
      </c>
      <c r="J4" t="s">
        <v>133</v>
      </c>
    </row>
  </sheetData>
  <scenarios current="2" show="2">
    <scenario name="Conservador" locked="1" count="3" user="isolis" comment="Creado por isolis el 14/09/2026">
      <inputCells r="B1" val="4"/>
      <inputCells r="B2" val="520000" numFmtId="3"/>
      <inputCells r="B3" val="0" numFmtId="9"/>
    </scenario>
    <scenario name="Promocional" locked="1" count="3" user="isolis" comment="Creado por isolis el 14/09/2026">
      <inputCells r="B1" val="6"/>
      <inputCells r="B2" val="520000" numFmtId="3"/>
      <inputCells r="B3" val="0,1" numFmtId="9"/>
    </scenario>
    <scenario name="Optimista" locked="1" count="3" user="isolis" comment="Creado por isolis el 14/09/2026">
      <inputCells r="B1" val="8"/>
      <inputCells r="B2" val="520000" numFmtId="3"/>
      <inputCells r="B3" val="0,05" numFmtId="9"/>
    </scenario>
  </scenario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73FC-7B4D-4EFF-8171-50511F78CCB2}">
  <dimension ref="A1:B5"/>
  <sheetViews>
    <sheetView tabSelected="1" workbookViewId="0">
      <selection activeCell="B7" sqref="B7"/>
    </sheetView>
  </sheetViews>
  <sheetFormatPr baseColWidth="10" defaultRowHeight="15" x14ac:dyDescent="0.25"/>
  <cols>
    <col min="1" max="1" width="18" customWidth="1"/>
  </cols>
  <sheetData>
    <row r="1" spans="1:2" x14ac:dyDescent="0.25">
      <c r="A1" s="1" t="s">
        <v>134</v>
      </c>
      <c r="B1" s="3" t="s">
        <v>135</v>
      </c>
    </row>
    <row r="2" spans="1:2" x14ac:dyDescent="0.25">
      <c r="A2" s="4" t="s">
        <v>7</v>
      </c>
      <c r="B2" s="2">
        <v>5.7692307692307692</v>
      </c>
    </row>
    <row r="3" spans="1:2" x14ac:dyDescent="0.25">
      <c r="A3" s="4" t="s">
        <v>8</v>
      </c>
      <c r="B3" s="2">
        <v>520000</v>
      </c>
    </row>
    <row r="4" spans="1:2" x14ac:dyDescent="0.25">
      <c r="A4" s="4" t="s">
        <v>9</v>
      </c>
      <c r="B4" s="16">
        <v>0</v>
      </c>
    </row>
    <row r="5" spans="1:2" x14ac:dyDescent="0.25">
      <c r="A5" s="4" t="s">
        <v>10</v>
      </c>
      <c r="B5" s="2">
        <f>B2*B3*(1-B4)</f>
        <v>3000000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2D0A-A8E3-43EF-BD93-8ABAB70BD408}">
  <dimension ref="A1:M81"/>
  <sheetViews>
    <sheetView workbookViewId="0">
      <selection activeCell="K1" sqref="A1:K1048576"/>
    </sheetView>
  </sheetViews>
  <sheetFormatPr baseColWidth="10" defaultRowHeight="15" x14ac:dyDescent="0.25"/>
  <cols>
    <col min="1" max="1" width="8.5703125" bestFit="1" customWidth="1"/>
    <col min="2" max="2" width="10.42578125" bestFit="1" customWidth="1"/>
    <col min="3" max="4" width="13.42578125" bestFit="1" customWidth="1"/>
    <col min="5" max="5" width="10.140625" bestFit="1" customWidth="1"/>
    <col min="6" max="6" width="23" bestFit="1" customWidth="1"/>
    <col min="7" max="7" width="11.5703125" bestFit="1" customWidth="1"/>
    <col min="8" max="8" width="9.140625" bestFit="1" customWidth="1"/>
    <col min="9" max="9" width="14.5703125" style="11" bestFit="1" customWidth="1"/>
    <col min="10" max="10" width="10.85546875" bestFit="1" customWidth="1"/>
    <col min="11" max="11" width="14.5703125" style="11" bestFit="1" customWidth="1"/>
    <col min="13" max="13" width="12" bestFit="1" customWidth="1"/>
  </cols>
  <sheetData>
    <row r="1" spans="1:13" x14ac:dyDescent="0.25">
      <c r="A1" s="6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0" t="s">
        <v>8</v>
      </c>
      <c r="J1" s="6" t="s">
        <v>9</v>
      </c>
      <c r="K1" s="10" t="s">
        <v>10</v>
      </c>
    </row>
    <row r="2" spans="1:13" x14ac:dyDescent="0.25">
      <c r="A2" t="s">
        <v>11</v>
      </c>
      <c r="B2" s="7">
        <v>46028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9">
        <v>4</v>
      </c>
      <c r="I2" s="11">
        <v>520000</v>
      </c>
      <c r="J2" s="8">
        <v>0</v>
      </c>
      <c r="K2" s="11">
        <f>H2*I2*(1-J2)</f>
        <v>2080000</v>
      </c>
      <c r="L2" s="11"/>
      <c r="M2" s="11"/>
    </row>
    <row r="3" spans="1:13" x14ac:dyDescent="0.25">
      <c r="A3" t="s">
        <v>17</v>
      </c>
      <c r="B3" s="7">
        <v>46029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s="9">
        <v>4</v>
      </c>
      <c r="I3" s="11">
        <v>94000</v>
      </c>
      <c r="J3" s="8">
        <v>0.05</v>
      </c>
      <c r="K3" s="11">
        <f t="shared" ref="K3:K66" si="0">H3*I3*(1-J3)</f>
        <v>357200</v>
      </c>
    </row>
    <row r="4" spans="1:13" x14ac:dyDescent="0.25">
      <c r="A4" t="s">
        <v>23</v>
      </c>
      <c r="B4" s="7">
        <v>46032</v>
      </c>
      <c r="C4" t="s">
        <v>18</v>
      </c>
      <c r="D4" t="s">
        <v>24</v>
      </c>
      <c r="E4" t="s">
        <v>14</v>
      </c>
      <c r="F4" t="s">
        <v>15</v>
      </c>
      <c r="G4" t="s">
        <v>22</v>
      </c>
      <c r="H4" s="9">
        <v>8</v>
      </c>
      <c r="I4" s="11">
        <v>520000</v>
      </c>
      <c r="J4" s="8">
        <v>0.05</v>
      </c>
      <c r="K4" s="11">
        <f t="shared" si="0"/>
        <v>3952000</v>
      </c>
    </row>
    <row r="5" spans="1:13" x14ac:dyDescent="0.25">
      <c r="A5" t="s">
        <v>25</v>
      </c>
      <c r="B5" s="7">
        <v>46035</v>
      </c>
      <c r="C5" t="s">
        <v>12</v>
      </c>
      <c r="D5" t="s">
        <v>26</v>
      </c>
      <c r="E5" t="s">
        <v>20</v>
      </c>
      <c r="F5" t="s">
        <v>27</v>
      </c>
      <c r="G5" t="s">
        <v>22</v>
      </c>
      <c r="H5" s="9">
        <v>8</v>
      </c>
      <c r="I5" s="11">
        <v>760000</v>
      </c>
      <c r="J5" s="8">
        <v>0</v>
      </c>
      <c r="K5" s="11">
        <f t="shared" si="0"/>
        <v>6080000</v>
      </c>
    </row>
    <row r="6" spans="1:13" x14ac:dyDescent="0.25">
      <c r="A6" t="s">
        <v>28</v>
      </c>
      <c r="B6" s="7">
        <v>46037</v>
      </c>
      <c r="C6" t="s">
        <v>18</v>
      </c>
      <c r="D6" t="s">
        <v>26</v>
      </c>
      <c r="E6" t="s">
        <v>14</v>
      </c>
      <c r="F6" t="s">
        <v>29</v>
      </c>
      <c r="G6" t="s">
        <v>22</v>
      </c>
      <c r="H6" s="9">
        <v>2</v>
      </c>
      <c r="I6" s="11">
        <v>310000</v>
      </c>
      <c r="J6" s="8">
        <v>0.15</v>
      </c>
      <c r="K6" s="11">
        <f t="shared" si="0"/>
        <v>527000</v>
      </c>
    </row>
    <row r="7" spans="1:13" x14ac:dyDescent="0.25">
      <c r="A7" t="s">
        <v>30</v>
      </c>
      <c r="B7" s="7">
        <v>46039</v>
      </c>
      <c r="C7" t="s">
        <v>18</v>
      </c>
      <c r="D7" t="s">
        <v>26</v>
      </c>
      <c r="E7" t="s">
        <v>20</v>
      </c>
      <c r="F7" t="s">
        <v>21</v>
      </c>
      <c r="G7" t="s">
        <v>31</v>
      </c>
      <c r="H7" s="9">
        <v>5</v>
      </c>
      <c r="I7" s="11">
        <v>94000</v>
      </c>
      <c r="J7" s="8">
        <v>0</v>
      </c>
      <c r="K7" s="11">
        <f t="shared" si="0"/>
        <v>470000</v>
      </c>
    </row>
    <row r="8" spans="1:13" x14ac:dyDescent="0.25">
      <c r="A8" t="s">
        <v>32</v>
      </c>
      <c r="B8" s="7">
        <v>46042</v>
      </c>
      <c r="C8" t="s">
        <v>18</v>
      </c>
      <c r="D8" t="s">
        <v>33</v>
      </c>
      <c r="E8" t="s">
        <v>34</v>
      </c>
      <c r="F8" t="s">
        <v>35</v>
      </c>
      <c r="G8" t="s">
        <v>31</v>
      </c>
      <c r="H8" s="9">
        <v>1</v>
      </c>
      <c r="I8" s="11">
        <v>2450000</v>
      </c>
      <c r="J8" s="8">
        <v>0.05</v>
      </c>
      <c r="K8" s="11">
        <f t="shared" si="0"/>
        <v>2327500</v>
      </c>
    </row>
    <row r="9" spans="1:13" x14ac:dyDescent="0.25">
      <c r="A9" t="s">
        <v>36</v>
      </c>
      <c r="B9" s="7">
        <v>46044</v>
      </c>
      <c r="C9" t="s">
        <v>37</v>
      </c>
      <c r="D9" t="s">
        <v>26</v>
      </c>
      <c r="E9" t="s">
        <v>20</v>
      </c>
      <c r="F9" t="s">
        <v>38</v>
      </c>
      <c r="G9" t="s">
        <v>16</v>
      </c>
      <c r="H9" s="9">
        <v>3</v>
      </c>
      <c r="I9" s="11">
        <v>185000</v>
      </c>
      <c r="J9" s="8">
        <v>0.1</v>
      </c>
      <c r="K9" s="11">
        <f t="shared" si="0"/>
        <v>499500</v>
      </c>
    </row>
    <row r="10" spans="1:13" x14ac:dyDescent="0.25">
      <c r="A10" t="s">
        <v>39</v>
      </c>
      <c r="B10" s="7">
        <v>46048</v>
      </c>
      <c r="C10" t="s">
        <v>40</v>
      </c>
      <c r="D10" t="s">
        <v>13</v>
      </c>
      <c r="E10" t="s">
        <v>14</v>
      </c>
      <c r="F10" t="s">
        <v>29</v>
      </c>
      <c r="G10" t="s">
        <v>31</v>
      </c>
      <c r="H10" s="9">
        <v>11</v>
      </c>
      <c r="I10" s="11">
        <v>310000</v>
      </c>
      <c r="J10" s="8">
        <v>0.05</v>
      </c>
      <c r="K10" s="11">
        <f t="shared" si="0"/>
        <v>3239500</v>
      </c>
    </row>
    <row r="11" spans="1:13" x14ac:dyDescent="0.25">
      <c r="A11" t="s">
        <v>41</v>
      </c>
      <c r="B11" s="7">
        <v>46049</v>
      </c>
      <c r="C11" t="s">
        <v>37</v>
      </c>
      <c r="D11" t="s">
        <v>13</v>
      </c>
      <c r="E11" t="s">
        <v>34</v>
      </c>
      <c r="F11" t="s">
        <v>35</v>
      </c>
      <c r="G11" t="s">
        <v>22</v>
      </c>
      <c r="H11" s="9">
        <v>2</v>
      </c>
      <c r="I11" s="11">
        <v>2450000</v>
      </c>
      <c r="J11" s="8">
        <v>0</v>
      </c>
      <c r="K11" s="11">
        <f t="shared" si="0"/>
        <v>4900000</v>
      </c>
    </row>
    <row r="12" spans="1:13" x14ac:dyDescent="0.25">
      <c r="A12" t="s">
        <v>42</v>
      </c>
      <c r="B12" s="7">
        <v>46053</v>
      </c>
      <c r="C12" t="s">
        <v>37</v>
      </c>
      <c r="D12" t="s">
        <v>24</v>
      </c>
      <c r="E12" t="s">
        <v>14</v>
      </c>
      <c r="F12" t="s">
        <v>15</v>
      </c>
      <c r="G12" t="s">
        <v>22</v>
      </c>
      <c r="H12" s="9">
        <v>1</v>
      </c>
      <c r="I12" s="11">
        <v>520000</v>
      </c>
      <c r="J12" s="8">
        <v>0.1</v>
      </c>
      <c r="K12" s="11">
        <f t="shared" si="0"/>
        <v>468000</v>
      </c>
    </row>
    <row r="13" spans="1:13" x14ac:dyDescent="0.25">
      <c r="A13" t="s">
        <v>43</v>
      </c>
      <c r="B13" s="7">
        <v>46055</v>
      </c>
      <c r="C13" t="s">
        <v>12</v>
      </c>
      <c r="D13" t="s">
        <v>26</v>
      </c>
      <c r="E13" t="s">
        <v>14</v>
      </c>
      <c r="F13" t="s">
        <v>29</v>
      </c>
      <c r="G13" t="s">
        <v>16</v>
      </c>
      <c r="H13" s="9">
        <v>1</v>
      </c>
      <c r="I13" s="11">
        <v>310000</v>
      </c>
      <c r="J13" s="8">
        <v>0.15</v>
      </c>
      <c r="K13" s="11">
        <f t="shared" si="0"/>
        <v>263500</v>
      </c>
    </row>
    <row r="14" spans="1:13" x14ac:dyDescent="0.25">
      <c r="A14" t="s">
        <v>44</v>
      </c>
      <c r="B14" s="7">
        <v>46057</v>
      </c>
      <c r="C14" t="s">
        <v>37</v>
      </c>
      <c r="D14" t="s">
        <v>19</v>
      </c>
      <c r="E14" t="s">
        <v>14</v>
      </c>
      <c r="F14" t="s">
        <v>15</v>
      </c>
      <c r="G14" t="s">
        <v>22</v>
      </c>
      <c r="H14" s="9">
        <v>4</v>
      </c>
      <c r="I14" s="11">
        <v>520000</v>
      </c>
      <c r="J14" s="8">
        <v>0</v>
      </c>
      <c r="K14" s="11">
        <f t="shared" si="0"/>
        <v>2080000</v>
      </c>
    </row>
    <row r="15" spans="1:13" x14ac:dyDescent="0.25">
      <c r="A15" t="s">
        <v>45</v>
      </c>
      <c r="B15" s="7">
        <v>46059</v>
      </c>
      <c r="C15" t="s">
        <v>40</v>
      </c>
      <c r="D15" t="s">
        <v>33</v>
      </c>
      <c r="E15" t="s">
        <v>34</v>
      </c>
      <c r="F15" t="s">
        <v>46</v>
      </c>
      <c r="G15" t="s">
        <v>31</v>
      </c>
      <c r="H15" s="9">
        <v>1</v>
      </c>
      <c r="I15" s="11">
        <v>4200000</v>
      </c>
      <c r="J15" s="8">
        <v>0</v>
      </c>
      <c r="K15" s="11">
        <f t="shared" si="0"/>
        <v>4200000</v>
      </c>
    </row>
    <row r="16" spans="1:13" x14ac:dyDescent="0.25">
      <c r="A16" t="s">
        <v>47</v>
      </c>
      <c r="B16" s="7">
        <v>46063</v>
      </c>
      <c r="C16" t="s">
        <v>40</v>
      </c>
      <c r="D16" t="s">
        <v>26</v>
      </c>
      <c r="E16" t="s">
        <v>14</v>
      </c>
      <c r="F16" t="s">
        <v>29</v>
      </c>
      <c r="G16" t="s">
        <v>22</v>
      </c>
      <c r="H16" s="9">
        <v>7</v>
      </c>
      <c r="I16" s="11">
        <v>310000</v>
      </c>
      <c r="J16" s="8">
        <v>0.15</v>
      </c>
      <c r="K16" s="11">
        <f t="shared" si="0"/>
        <v>1844500</v>
      </c>
    </row>
    <row r="17" spans="1:11" x14ac:dyDescent="0.25">
      <c r="A17" t="s">
        <v>48</v>
      </c>
      <c r="B17" s="7">
        <v>46065</v>
      </c>
      <c r="C17" t="s">
        <v>12</v>
      </c>
      <c r="D17" t="s">
        <v>13</v>
      </c>
      <c r="E17" t="s">
        <v>34</v>
      </c>
      <c r="F17" t="s">
        <v>46</v>
      </c>
      <c r="G17" t="s">
        <v>16</v>
      </c>
      <c r="H17" s="9">
        <v>2</v>
      </c>
      <c r="I17" s="11">
        <v>4200000</v>
      </c>
      <c r="J17" s="8">
        <v>0.1</v>
      </c>
      <c r="K17" s="11">
        <f t="shared" si="0"/>
        <v>7560000</v>
      </c>
    </row>
    <row r="18" spans="1:11" x14ac:dyDescent="0.25">
      <c r="A18" t="s">
        <v>49</v>
      </c>
      <c r="B18" s="7">
        <v>46068</v>
      </c>
      <c r="C18" t="s">
        <v>40</v>
      </c>
      <c r="D18" t="s">
        <v>13</v>
      </c>
      <c r="E18" t="s">
        <v>20</v>
      </c>
      <c r="F18" t="s">
        <v>21</v>
      </c>
      <c r="G18" t="s">
        <v>22</v>
      </c>
      <c r="H18" s="9">
        <v>9</v>
      </c>
      <c r="I18" s="11">
        <v>94000</v>
      </c>
      <c r="J18" s="8">
        <v>0.05</v>
      </c>
      <c r="K18" s="11">
        <f t="shared" si="0"/>
        <v>803700</v>
      </c>
    </row>
    <row r="19" spans="1:11" x14ac:dyDescent="0.25">
      <c r="A19" t="s">
        <v>50</v>
      </c>
      <c r="B19" s="7">
        <v>46070</v>
      </c>
      <c r="C19" t="s">
        <v>37</v>
      </c>
      <c r="D19" t="s">
        <v>33</v>
      </c>
      <c r="E19" t="s">
        <v>14</v>
      </c>
      <c r="F19" t="s">
        <v>15</v>
      </c>
      <c r="G19" t="s">
        <v>22</v>
      </c>
      <c r="H19" s="9">
        <v>8</v>
      </c>
      <c r="I19" s="11">
        <v>520000</v>
      </c>
      <c r="J19" s="8">
        <v>0.15</v>
      </c>
      <c r="K19" s="11">
        <f t="shared" si="0"/>
        <v>3536000</v>
      </c>
    </row>
    <row r="20" spans="1:11" x14ac:dyDescent="0.25">
      <c r="A20" t="s">
        <v>51</v>
      </c>
      <c r="B20" s="7">
        <v>46073</v>
      </c>
      <c r="C20" t="s">
        <v>37</v>
      </c>
      <c r="D20" t="s">
        <v>13</v>
      </c>
      <c r="E20" t="s">
        <v>52</v>
      </c>
      <c r="F20" t="s">
        <v>53</v>
      </c>
      <c r="G20" t="s">
        <v>22</v>
      </c>
      <c r="H20" s="9">
        <v>7</v>
      </c>
      <c r="I20" s="11">
        <v>68000</v>
      </c>
      <c r="J20" s="8">
        <v>0</v>
      </c>
      <c r="K20" s="11">
        <f t="shared" si="0"/>
        <v>476000</v>
      </c>
    </row>
    <row r="21" spans="1:11" x14ac:dyDescent="0.25">
      <c r="A21" t="s">
        <v>54</v>
      </c>
      <c r="B21" s="7">
        <v>46075</v>
      </c>
      <c r="C21" t="s">
        <v>12</v>
      </c>
      <c r="D21" t="s">
        <v>13</v>
      </c>
      <c r="E21" t="s">
        <v>20</v>
      </c>
      <c r="F21" t="s">
        <v>38</v>
      </c>
      <c r="G21" t="s">
        <v>16</v>
      </c>
      <c r="H21" s="9">
        <v>9</v>
      </c>
      <c r="I21" s="11">
        <v>185000</v>
      </c>
      <c r="J21" s="8">
        <v>0</v>
      </c>
      <c r="K21" s="11">
        <f t="shared" si="0"/>
        <v>1665000</v>
      </c>
    </row>
    <row r="22" spans="1:11" x14ac:dyDescent="0.25">
      <c r="A22" t="s">
        <v>55</v>
      </c>
      <c r="B22" s="7">
        <v>46077</v>
      </c>
      <c r="C22" t="s">
        <v>12</v>
      </c>
      <c r="D22" t="s">
        <v>19</v>
      </c>
      <c r="E22" t="s">
        <v>34</v>
      </c>
      <c r="F22" t="s">
        <v>35</v>
      </c>
      <c r="G22" t="s">
        <v>31</v>
      </c>
      <c r="H22" s="9">
        <v>2</v>
      </c>
      <c r="I22" s="11">
        <v>2450000</v>
      </c>
      <c r="J22" s="8">
        <v>0.15</v>
      </c>
      <c r="K22" s="11">
        <f t="shared" si="0"/>
        <v>4165000</v>
      </c>
    </row>
    <row r="23" spans="1:11" x14ac:dyDescent="0.25">
      <c r="A23" t="s">
        <v>56</v>
      </c>
      <c r="B23" s="7">
        <v>46079</v>
      </c>
      <c r="C23" t="s">
        <v>18</v>
      </c>
      <c r="D23" t="s">
        <v>26</v>
      </c>
      <c r="E23" t="s">
        <v>52</v>
      </c>
      <c r="F23" t="s">
        <v>53</v>
      </c>
      <c r="G23" t="s">
        <v>16</v>
      </c>
      <c r="H23" s="9">
        <v>2</v>
      </c>
      <c r="I23" s="11">
        <v>68000</v>
      </c>
      <c r="J23" s="8">
        <v>0</v>
      </c>
      <c r="K23" s="11">
        <f t="shared" si="0"/>
        <v>136000</v>
      </c>
    </row>
    <row r="24" spans="1:11" x14ac:dyDescent="0.25">
      <c r="A24" t="s">
        <v>57</v>
      </c>
      <c r="B24" s="7">
        <v>46083</v>
      </c>
      <c r="C24" t="s">
        <v>12</v>
      </c>
      <c r="D24" t="s">
        <v>13</v>
      </c>
      <c r="E24" t="s">
        <v>14</v>
      </c>
      <c r="F24" t="s">
        <v>29</v>
      </c>
      <c r="G24" t="s">
        <v>22</v>
      </c>
      <c r="H24" s="9">
        <v>3</v>
      </c>
      <c r="I24" s="11">
        <v>310000</v>
      </c>
      <c r="J24" s="8">
        <v>0.15</v>
      </c>
      <c r="K24" s="11">
        <f t="shared" si="0"/>
        <v>790500</v>
      </c>
    </row>
    <row r="25" spans="1:11" x14ac:dyDescent="0.25">
      <c r="A25" t="s">
        <v>58</v>
      </c>
      <c r="B25" s="7">
        <v>46085</v>
      </c>
      <c r="C25" t="s">
        <v>18</v>
      </c>
      <c r="D25" t="s">
        <v>13</v>
      </c>
      <c r="E25" t="s">
        <v>34</v>
      </c>
      <c r="F25" t="s">
        <v>46</v>
      </c>
      <c r="G25" t="s">
        <v>16</v>
      </c>
      <c r="H25" s="9">
        <v>2</v>
      </c>
      <c r="I25" s="11">
        <v>4200000</v>
      </c>
      <c r="J25" s="8">
        <v>0.05</v>
      </c>
      <c r="K25" s="11">
        <f t="shared" si="0"/>
        <v>7980000</v>
      </c>
    </row>
    <row r="26" spans="1:11" x14ac:dyDescent="0.25">
      <c r="A26" t="s">
        <v>59</v>
      </c>
      <c r="B26" s="7">
        <v>46088</v>
      </c>
      <c r="C26" t="s">
        <v>40</v>
      </c>
      <c r="D26" t="s">
        <v>19</v>
      </c>
      <c r="E26" t="s">
        <v>14</v>
      </c>
      <c r="F26" t="s">
        <v>29</v>
      </c>
      <c r="G26" t="s">
        <v>16</v>
      </c>
      <c r="H26" s="9">
        <v>2</v>
      </c>
      <c r="I26" s="11">
        <v>310000</v>
      </c>
      <c r="J26" s="8">
        <v>0.05</v>
      </c>
      <c r="K26" s="11">
        <f t="shared" si="0"/>
        <v>589000</v>
      </c>
    </row>
    <row r="27" spans="1:11" x14ac:dyDescent="0.25">
      <c r="A27" t="s">
        <v>60</v>
      </c>
      <c r="B27" s="7">
        <v>46090</v>
      </c>
      <c r="C27" t="s">
        <v>12</v>
      </c>
      <c r="D27" t="s">
        <v>33</v>
      </c>
      <c r="E27" t="s">
        <v>20</v>
      </c>
      <c r="F27" t="s">
        <v>27</v>
      </c>
      <c r="G27" t="s">
        <v>31</v>
      </c>
      <c r="H27" s="9">
        <v>3</v>
      </c>
      <c r="I27" s="11">
        <v>760000</v>
      </c>
      <c r="J27" s="8">
        <v>0.1</v>
      </c>
      <c r="K27" s="11">
        <f t="shared" si="0"/>
        <v>2052000</v>
      </c>
    </row>
    <row r="28" spans="1:11" x14ac:dyDescent="0.25">
      <c r="A28" t="s">
        <v>61</v>
      </c>
      <c r="B28" s="7">
        <v>46093</v>
      </c>
      <c r="C28" t="s">
        <v>37</v>
      </c>
      <c r="D28" t="s">
        <v>26</v>
      </c>
      <c r="E28" t="s">
        <v>20</v>
      </c>
      <c r="F28" t="s">
        <v>38</v>
      </c>
      <c r="G28" t="s">
        <v>22</v>
      </c>
      <c r="H28" s="9">
        <v>6</v>
      </c>
      <c r="I28" s="11">
        <v>185000</v>
      </c>
      <c r="J28" s="8">
        <v>0</v>
      </c>
      <c r="K28" s="11">
        <f t="shared" si="0"/>
        <v>1110000</v>
      </c>
    </row>
    <row r="29" spans="1:11" x14ac:dyDescent="0.25">
      <c r="A29" t="s">
        <v>62</v>
      </c>
      <c r="B29" s="7">
        <v>46094</v>
      </c>
      <c r="C29" t="s">
        <v>37</v>
      </c>
      <c r="D29" t="s">
        <v>24</v>
      </c>
      <c r="E29" t="s">
        <v>14</v>
      </c>
      <c r="F29" t="s">
        <v>15</v>
      </c>
      <c r="G29" t="s">
        <v>22</v>
      </c>
      <c r="H29" s="9">
        <v>1</v>
      </c>
      <c r="I29" s="11">
        <v>520000</v>
      </c>
      <c r="J29" s="8">
        <v>0</v>
      </c>
      <c r="K29" s="11">
        <f t="shared" si="0"/>
        <v>520000</v>
      </c>
    </row>
    <row r="30" spans="1:11" x14ac:dyDescent="0.25">
      <c r="A30" t="s">
        <v>63</v>
      </c>
      <c r="B30" s="7">
        <v>46098</v>
      </c>
      <c r="C30" t="s">
        <v>37</v>
      </c>
      <c r="D30" t="s">
        <v>26</v>
      </c>
      <c r="E30" t="s">
        <v>20</v>
      </c>
      <c r="F30" t="s">
        <v>27</v>
      </c>
      <c r="G30" t="s">
        <v>16</v>
      </c>
      <c r="H30" s="9">
        <v>12</v>
      </c>
      <c r="I30" s="11">
        <v>760000</v>
      </c>
      <c r="J30" s="8">
        <v>0.05</v>
      </c>
      <c r="K30" s="11">
        <f t="shared" si="0"/>
        <v>8664000</v>
      </c>
    </row>
    <row r="31" spans="1:11" x14ac:dyDescent="0.25">
      <c r="A31" t="s">
        <v>64</v>
      </c>
      <c r="B31" s="7">
        <v>46100</v>
      </c>
      <c r="C31" t="s">
        <v>40</v>
      </c>
      <c r="D31" t="s">
        <v>19</v>
      </c>
      <c r="E31" t="s">
        <v>52</v>
      </c>
      <c r="F31" t="s">
        <v>53</v>
      </c>
      <c r="G31" t="s">
        <v>22</v>
      </c>
      <c r="H31" s="9">
        <v>8</v>
      </c>
      <c r="I31" s="11">
        <v>68000</v>
      </c>
      <c r="J31" s="8">
        <v>0</v>
      </c>
      <c r="K31" s="11">
        <f t="shared" si="0"/>
        <v>544000</v>
      </c>
    </row>
    <row r="32" spans="1:11" x14ac:dyDescent="0.25">
      <c r="A32" t="s">
        <v>65</v>
      </c>
      <c r="B32" s="7">
        <v>46102</v>
      </c>
      <c r="C32" t="s">
        <v>18</v>
      </c>
      <c r="D32" t="s">
        <v>24</v>
      </c>
      <c r="E32" t="s">
        <v>20</v>
      </c>
      <c r="F32" t="s">
        <v>27</v>
      </c>
      <c r="G32" t="s">
        <v>16</v>
      </c>
      <c r="H32" s="9">
        <v>8</v>
      </c>
      <c r="I32" s="11">
        <v>760000</v>
      </c>
      <c r="J32" s="8">
        <v>0.15</v>
      </c>
      <c r="K32" s="11">
        <f t="shared" si="0"/>
        <v>5168000</v>
      </c>
    </row>
    <row r="33" spans="1:11" x14ac:dyDescent="0.25">
      <c r="A33" t="s">
        <v>66</v>
      </c>
      <c r="B33" s="7">
        <v>46105</v>
      </c>
      <c r="C33" t="s">
        <v>18</v>
      </c>
      <c r="D33" t="s">
        <v>24</v>
      </c>
      <c r="E33" t="s">
        <v>34</v>
      </c>
      <c r="F33" t="s">
        <v>46</v>
      </c>
      <c r="G33" t="s">
        <v>16</v>
      </c>
      <c r="H33" s="9">
        <v>2</v>
      </c>
      <c r="I33" s="11">
        <v>4200000</v>
      </c>
      <c r="J33" s="8">
        <v>0.15</v>
      </c>
      <c r="K33" s="11">
        <f t="shared" si="0"/>
        <v>7140000</v>
      </c>
    </row>
    <row r="34" spans="1:11" x14ac:dyDescent="0.25">
      <c r="A34" t="s">
        <v>67</v>
      </c>
      <c r="B34" s="7">
        <v>46108</v>
      </c>
      <c r="C34" t="s">
        <v>12</v>
      </c>
      <c r="D34" t="s">
        <v>13</v>
      </c>
      <c r="E34" t="s">
        <v>20</v>
      </c>
      <c r="F34" t="s">
        <v>38</v>
      </c>
      <c r="G34" t="s">
        <v>22</v>
      </c>
      <c r="H34" s="9">
        <v>2</v>
      </c>
      <c r="I34" s="11">
        <v>185000</v>
      </c>
      <c r="J34" s="8">
        <v>0</v>
      </c>
      <c r="K34" s="11">
        <f t="shared" si="0"/>
        <v>370000</v>
      </c>
    </row>
    <row r="35" spans="1:11" x14ac:dyDescent="0.25">
      <c r="A35" t="s">
        <v>68</v>
      </c>
      <c r="B35" s="7">
        <v>46109</v>
      </c>
      <c r="C35" t="s">
        <v>18</v>
      </c>
      <c r="D35" t="s">
        <v>26</v>
      </c>
      <c r="E35" t="s">
        <v>52</v>
      </c>
      <c r="F35" t="s">
        <v>53</v>
      </c>
      <c r="G35" t="s">
        <v>22</v>
      </c>
      <c r="H35" s="9">
        <v>11</v>
      </c>
      <c r="I35" s="11">
        <v>68000</v>
      </c>
      <c r="J35" s="8">
        <v>0.05</v>
      </c>
      <c r="K35" s="11">
        <f t="shared" si="0"/>
        <v>710600</v>
      </c>
    </row>
    <row r="36" spans="1:11" x14ac:dyDescent="0.25">
      <c r="A36" t="s">
        <v>69</v>
      </c>
      <c r="B36" s="7">
        <v>46112</v>
      </c>
      <c r="C36" t="s">
        <v>18</v>
      </c>
      <c r="D36" t="s">
        <v>33</v>
      </c>
      <c r="E36" t="s">
        <v>14</v>
      </c>
      <c r="F36" t="s">
        <v>29</v>
      </c>
      <c r="G36" t="s">
        <v>22</v>
      </c>
      <c r="H36" s="9">
        <v>6</v>
      </c>
      <c r="I36" s="11">
        <v>310000</v>
      </c>
      <c r="J36" s="8">
        <v>0</v>
      </c>
      <c r="K36" s="11">
        <f t="shared" si="0"/>
        <v>1860000</v>
      </c>
    </row>
    <row r="37" spans="1:11" x14ac:dyDescent="0.25">
      <c r="A37" t="s">
        <v>70</v>
      </c>
      <c r="B37" s="7">
        <v>46115</v>
      </c>
      <c r="C37" t="s">
        <v>40</v>
      </c>
      <c r="D37" t="s">
        <v>33</v>
      </c>
      <c r="E37" t="s">
        <v>34</v>
      </c>
      <c r="F37" t="s">
        <v>35</v>
      </c>
      <c r="G37" t="s">
        <v>22</v>
      </c>
      <c r="H37" s="9">
        <v>2</v>
      </c>
      <c r="I37" s="11">
        <v>2450000</v>
      </c>
      <c r="J37" s="8">
        <v>0</v>
      </c>
      <c r="K37" s="11">
        <f t="shared" si="0"/>
        <v>4900000</v>
      </c>
    </row>
    <row r="38" spans="1:11" x14ac:dyDescent="0.25">
      <c r="A38" t="s">
        <v>71</v>
      </c>
      <c r="B38" s="7">
        <v>46117</v>
      </c>
      <c r="C38" t="s">
        <v>12</v>
      </c>
      <c r="D38" t="s">
        <v>24</v>
      </c>
      <c r="E38" t="s">
        <v>14</v>
      </c>
      <c r="F38" t="s">
        <v>15</v>
      </c>
      <c r="G38" t="s">
        <v>22</v>
      </c>
      <c r="H38" s="9">
        <v>12</v>
      </c>
      <c r="I38" s="11">
        <v>520000</v>
      </c>
      <c r="J38" s="8">
        <v>0.05</v>
      </c>
      <c r="K38" s="11">
        <f t="shared" si="0"/>
        <v>5928000</v>
      </c>
    </row>
    <row r="39" spans="1:11" x14ac:dyDescent="0.25">
      <c r="A39" t="s">
        <v>72</v>
      </c>
      <c r="B39" s="7">
        <v>46119</v>
      </c>
      <c r="C39" t="s">
        <v>37</v>
      </c>
      <c r="D39" t="s">
        <v>24</v>
      </c>
      <c r="E39" t="s">
        <v>34</v>
      </c>
      <c r="F39" t="s">
        <v>46</v>
      </c>
      <c r="G39" t="s">
        <v>31</v>
      </c>
      <c r="H39" s="9">
        <v>2</v>
      </c>
      <c r="I39" s="11">
        <v>4200000</v>
      </c>
      <c r="J39" s="8">
        <v>0</v>
      </c>
      <c r="K39" s="11">
        <f t="shared" si="0"/>
        <v>8400000</v>
      </c>
    </row>
    <row r="40" spans="1:11" x14ac:dyDescent="0.25">
      <c r="A40" t="s">
        <v>73</v>
      </c>
      <c r="B40" s="7">
        <v>46122</v>
      </c>
      <c r="C40" t="s">
        <v>37</v>
      </c>
      <c r="D40" t="s">
        <v>13</v>
      </c>
      <c r="E40" t="s">
        <v>34</v>
      </c>
      <c r="F40" t="s">
        <v>35</v>
      </c>
      <c r="G40" t="s">
        <v>31</v>
      </c>
      <c r="H40" s="9">
        <v>1</v>
      </c>
      <c r="I40" s="11">
        <v>2450000</v>
      </c>
      <c r="J40" s="8">
        <v>0</v>
      </c>
      <c r="K40" s="11">
        <f t="shared" si="0"/>
        <v>2450000</v>
      </c>
    </row>
    <row r="41" spans="1:11" x14ac:dyDescent="0.25">
      <c r="A41" t="s">
        <v>74</v>
      </c>
      <c r="B41" s="7">
        <v>46124</v>
      </c>
      <c r="C41" t="s">
        <v>40</v>
      </c>
      <c r="D41" t="s">
        <v>26</v>
      </c>
      <c r="E41" t="s">
        <v>52</v>
      </c>
      <c r="F41" t="s">
        <v>53</v>
      </c>
      <c r="G41" t="s">
        <v>16</v>
      </c>
      <c r="H41" s="9">
        <v>11</v>
      </c>
      <c r="I41" s="11">
        <v>68000</v>
      </c>
      <c r="J41" s="8">
        <v>0.05</v>
      </c>
      <c r="K41" s="11">
        <f t="shared" si="0"/>
        <v>710600</v>
      </c>
    </row>
    <row r="42" spans="1:11" x14ac:dyDescent="0.25">
      <c r="A42" t="s">
        <v>75</v>
      </c>
      <c r="B42" s="7">
        <v>46127</v>
      </c>
      <c r="C42" t="s">
        <v>12</v>
      </c>
      <c r="D42" t="s">
        <v>13</v>
      </c>
      <c r="E42" t="s">
        <v>20</v>
      </c>
      <c r="F42" t="s">
        <v>21</v>
      </c>
      <c r="G42" t="s">
        <v>31</v>
      </c>
      <c r="H42" s="9">
        <v>5</v>
      </c>
      <c r="I42" s="11">
        <v>94000</v>
      </c>
      <c r="J42" s="8">
        <v>0</v>
      </c>
      <c r="K42" s="11">
        <f t="shared" si="0"/>
        <v>470000</v>
      </c>
    </row>
    <row r="43" spans="1:11" x14ac:dyDescent="0.25">
      <c r="A43" t="s">
        <v>76</v>
      </c>
      <c r="B43" s="7">
        <v>46130</v>
      </c>
      <c r="C43" t="s">
        <v>12</v>
      </c>
      <c r="D43" t="s">
        <v>24</v>
      </c>
      <c r="E43" t="s">
        <v>20</v>
      </c>
      <c r="F43" t="s">
        <v>27</v>
      </c>
      <c r="G43" t="s">
        <v>31</v>
      </c>
      <c r="H43" s="9">
        <v>9</v>
      </c>
      <c r="I43" s="11">
        <v>760000</v>
      </c>
      <c r="J43" s="8">
        <v>0.05</v>
      </c>
      <c r="K43" s="11">
        <f t="shared" si="0"/>
        <v>6498000</v>
      </c>
    </row>
    <row r="44" spans="1:11" x14ac:dyDescent="0.25">
      <c r="A44" t="s">
        <v>77</v>
      </c>
      <c r="B44" s="7">
        <v>46132</v>
      </c>
      <c r="C44" t="s">
        <v>12</v>
      </c>
      <c r="D44" t="s">
        <v>13</v>
      </c>
      <c r="E44" t="s">
        <v>52</v>
      </c>
      <c r="F44" t="s">
        <v>53</v>
      </c>
      <c r="G44" t="s">
        <v>16</v>
      </c>
      <c r="H44" s="9">
        <v>1</v>
      </c>
      <c r="I44" s="11">
        <v>68000</v>
      </c>
      <c r="J44" s="8">
        <v>0</v>
      </c>
      <c r="K44" s="11">
        <f t="shared" si="0"/>
        <v>68000</v>
      </c>
    </row>
    <row r="45" spans="1:11" x14ac:dyDescent="0.25">
      <c r="A45" t="s">
        <v>78</v>
      </c>
      <c r="B45" s="7">
        <v>46134</v>
      </c>
      <c r="C45" t="s">
        <v>40</v>
      </c>
      <c r="D45" t="s">
        <v>13</v>
      </c>
      <c r="E45" t="s">
        <v>20</v>
      </c>
      <c r="F45" t="s">
        <v>38</v>
      </c>
      <c r="G45" t="s">
        <v>16</v>
      </c>
      <c r="H45" s="9">
        <v>11</v>
      </c>
      <c r="I45" s="11">
        <v>185000</v>
      </c>
      <c r="J45" s="8">
        <v>0.05</v>
      </c>
      <c r="K45" s="11">
        <f t="shared" si="0"/>
        <v>1933250</v>
      </c>
    </row>
    <row r="46" spans="1:11" x14ac:dyDescent="0.25">
      <c r="A46" t="s">
        <v>79</v>
      </c>
      <c r="B46" s="7">
        <v>46138</v>
      </c>
      <c r="C46" t="s">
        <v>37</v>
      </c>
      <c r="D46" t="s">
        <v>13</v>
      </c>
      <c r="E46" t="s">
        <v>52</v>
      </c>
      <c r="F46" t="s">
        <v>53</v>
      </c>
      <c r="G46" t="s">
        <v>22</v>
      </c>
      <c r="H46" s="9">
        <v>6</v>
      </c>
      <c r="I46" s="11">
        <v>68000</v>
      </c>
      <c r="J46" s="8">
        <v>0</v>
      </c>
      <c r="K46" s="11">
        <f t="shared" si="0"/>
        <v>408000</v>
      </c>
    </row>
    <row r="47" spans="1:11" x14ac:dyDescent="0.25">
      <c r="A47" t="s">
        <v>80</v>
      </c>
      <c r="B47" s="7">
        <v>46140</v>
      </c>
      <c r="C47" t="s">
        <v>18</v>
      </c>
      <c r="D47" t="s">
        <v>19</v>
      </c>
      <c r="E47" t="s">
        <v>14</v>
      </c>
      <c r="F47" t="s">
        <v>29</v>
      </c>
      <c r="G47" t="s">
        <v>31</v>
      </c>
      <c r="H47" s="9">
        <v>10</v>
      </c>
      <c r="I47" s="11">
        <v>310000</v>
      </c>
      <c r="J47" s="8">
        <v>0</v>
      </c>
      <c r="K47" s="11">
        <f t="shared" si="0"/>
        <v>3100000</v>
      </c>
    </row>
    <row r="48" spans="1:11" x14ac:dyDescent="0.25">
      <c r="A48" t="s">
        <v>81</v>
      </c>
      <c r="B48" s="7">
        <v>46142</v>
      </c>
      <c r="C48" t="s">
        <v>37</v>
      </c>
      <c r="D48" t="s">
        <v>24</v>
      </c>
      <c r="E48" t="s">
        <v>20</v>
      </c>
      <c r="F48" t="s">
        <v>27</v>
      </c>
      <c r="G48" t="s">
        <v>22</v>
      </c>
      <c r="H48" s="9">
        <v>4</v>
      </c>
      <c r="I48" s="11">
        <v>760000</v>
      </c>
      <c r="J48" s="8">
        <v>0</v>
      </c>
      <c r="K48" s="11">
        <f t="shared" si="0"/>
        <v>3040000</v>
      </c>
    </row>
    <row r="49" spans="1:11" x14ac:dyDescent="0.25">
      <c r="A49" t="s">
        <v>82</v>
      </c>
      <c r="B49" s="7">
        <v>46144</v>
      </c>
      <c r="C49" t="s">
        <v>37</v>
      </c>
      <c r="D49" t="s">
        <v>33</v>
      </c>
      <c r="E49" t="s">
        <v>34</v>
      </c>
      <c r="F49" t="s">
        <v>46</v>
      </c>
      <c r="G49" t="s">
        <v>31</v>
      </c>
      <c r="H49" s="9">
        <v>2</v>
      </c>
      <c r="I49" s="11">
        <v>4200000</v>
      </c>
      <c r="J49" s="8">
        <v>0</v>
      </c>
      <c r="K49" s="11">
        <f t="shared" si="0"/>
        <v>8400000</v>
      </c>
    </row>
    <row r="50" spans="1:11" x14ac:dyDescent="0.25">
      <c r="A50" t="s">
        <v>83</v>
      </c>
      <c r="B50" s="7">
        <v>46147</v>
      </c>
      <c r="C50" t="s">
        <v>40</v>
      </c>
      <c r="D50" t="s">
        <v>24</v>
      </c>
      <c r="E50" t="s">
        <v>20</v>
      </c>
      <c r="F50" t="s">
        <v>27</v>
      </c>
      <c r="G50" t="s">
        <v>31</v>
      </c>
      <c r="H50" s="9">
        <v>3</v>
      </c>
      <c r="I50" s="11">
        <v>760000</v>
      </c>
      <c r="J50" s="8">
        <v>0</v>
      </c>
      <c r="K50" s="11">
        <f t="shared" si="0"/>
        <v>2280000</v>
      </c>
    </row>
    <row r="51" spans="1:11" x14ac:dyDescent="0.25">
      <c r="A51" t="s">
        <v>84</v>
      </c>
      <c r="B51" s="7">
        <v>46149</v>
      </c>
      <c r="C51" t="s">
        <v>18</v>
      </c>
      <c r="D51" t="s">
        <v>26</v>
      </c>
      <c r="E51" t="s">
        <v>20</v>
      </c>
      <c r="F51" t="s">
        <v>27</v>
      </c>
      <c r="G51" t="s">
        <v>16</v>
      </c>
      <c r="H51" s="9">
        <v>8</v>
      </c>
      <c r="I51" s="11">
        <v>760000</v>
      </c>
      <c r="J51" s="8">
        <v>0</v>
      </c>
      <c r="K51" s="11">
        <f t="shared" si="0"/>
        <v>6080000</v>
      </c>
    </row>
    <row r="52" spans="1:11" x14ac:dyDescent="0.25">
      <c r="A52" t="s">
        <v>85</v>
      </c>
      <c r="B52" s="7">
        <v>46152</v>
      </c>
      <c r="C52" t="s">
        <v>37</v>
      </c>
      <c r="D52" t="s">
        <v>13</v>
      </c>
      <c r="E52" t="s">
        <v>14</v>
      </c>
      <c r="F52" t="s">
        <v>15</v>
      </c>
      <c r="G52" t="s">
        <v>31</v>
      </c>
      <c r="H52" s="9">
        <v>1</v>
      </c>
      <c r="I52" s="11">
        <v>520000</v>
      </c>
      <c r="J52" s="8">
        <v>0.05</v>
      </c>
      <c r="K52" s="11">
        <f t="shared" si="0"/>
        <v>494000</v>
      </c>
    </row>
    <row r="53" spans="1:11" x14ac:dyDescent="0.25">
      <c r="A53" t="s">
        <v>86</v>
      </c>
      <c r="B53" s="7">
        <v>46154</v>
      </c>
      <c r="C53" t="s">
        <v>18</v>
      </c>
      <c r="D53" t="s">
        <v>33</v>
      </c>
      <c r="E53" t="s">
        <v>20</v>
      </c>
      <c r="F53" t="s">
        <v>27</v>
      </c>
      <c r="G53" t="s">
        <v>22</v>
      </c>
      <c r="H53" s="9">
        <v>10</v>
      </c>
      <c r="I53" s="11">
        <v>760000</v>
      </c>
      <c r="J53" s="8">
        <v>0</v>
      </c>
      <c r="K53" s="11">
        <f t="shared" si="0"/>
        <v>7600000</v>
      </c>
    </row>
    <row r="54" spans="1:11" x14ac:dyDescent="0.25">
      <c r="A54" t="s">
        <v>87</v>
      </c>
      <c r="B54" s="7">
        <v>46157</v>
      </c>
      <c r="C54" t="s">
        <v>12</v>
      </c>
      <c r="D54" t="s">
        <v>26</v>
      </c>
      <c r="E54" t="s">
        <v>34</v>
      </c>
      <c r="F54" t="s">
        <v>46</v>
      </c>
      <c r="G54" t="s">
        <v>22</v>
      </c>
      <c r="H54" s="9">
        <v>1</v>
      </c>
      <c r="I54" s="11">
        <v>4200000</v>
      </c>
      <c r="J54" s="8">
        <v>0</v>
      </c>
      <c r="K54" s="11">
        <f t="shared" si="0"/>
        <v>4200000</v>
      </c>
    </row>
    <row r="55" spans="1:11" x14ac:dyDescent="0.25">
      <c r="A55" t="s">
        <v>88</v>
      </c>
      <c r="B55" s="7">
        <v>46160</v>
      </c>
      <c r="C55" t="s">
        <v>37</v>
      </c>
      <c r="D55" t="s">
        <v>13</v>
      </c>
      <c r="E55" t="s">
        <v>34</v>
      </c>
      <c r="F55" t="s">
        <v>35</v>
      </c>
      <c r="G55" t="s">
        <v>16</v>
      </c>
      <c r="H55" s="9">
        <v>1</v>
      </c>
      <c r="I55" s="11">
        <v>2450000</v>
      </c>
      <c r="J55" s="8">
        <v>0.1</v>
      </c>
      <c r="K55" s="11">
        <f t="shared" si="0"/>
        <v>2205000</v>
      </c>
    </row>
    <row r="56" spans="1:11" x14ac:dyDescent="0.25">
      <c r="A56" t="s">
        <v>89</v>
      </c>
      <c r="B56" s="7">
        <v>46163</v>
      </c>
      <c r="C56" t="s">
        <v>18</v>
      </c>
      <c r="D56" t="s">
        <v>26</v>
      </c>
      <c r="E56" t="s">
        <v>34</v>
      </c>
      <c r="F56" t="s">
        <v>46</v>
      </c>
      <c r="G56" t="s">
        <v>16</v>
      </c>
      <c r="H56" s="9">
        <v>2</v>
      </c>
      <c r="I56" s="11">
        <v>4200000</v>
      </c>
      <c r="J56" s="8">
        <v>0.05</v>
      </c>
      <c r="K56" s="11">
        <f t="shared" si="0"/>
        <v>7980000</v>
      </c>
    </row>
    <row r="57" spans="1:11" x14ac:dyDescent="0.25">
      <c r="A57" t="s">
        <v>90</v>
      </c>
      <c r="B57" s="7">
        <v>46165</v>
      </c>
      <c r="C57" t="s">
        <v>12</v>
      </c>
      <c r="D57" t="s">
        <v>13</v>
      </c>
      <c r="E57" t="s">
        <v>20</v>
      </c>
      <c r="F57" t="s">
        <v>38</v>
      </c>
      <c r="G57" t="s">
        <v>22</v>
      </c>
      <c r="H57" s="9">
        <v>10</v>
      </c>
      <c r="I57" s="11">
        <v>185000</v>
      </c>
      <c r="J57" s="8">
        <v>0.05</v>
      </c>
      <c r="K57" s="11">
        <f t="shared" si="0"/>
        <v>1757500</v>
      </c>
    </row>
    <row r="58" spans="1:11" x14ac:dyDescent="0.25">
      <c r="A58" t="s">
        <v>91</v>
      </c>
      <c r="B58" s="7">
        <v>46168</v>
      </c>
      <c r="C58" t="s">
        <v>18</v>
      </c>
      <c r="D58" t="s">
        <v>24</v>
      </c>
      <c r="E58" t="s">
        <v>14</v>
      </c>
      <c r="F58" t="s">
        <v>29</v>
      </c>
      <c r="G58" t="s">
        <v>22</v>
      </c>
      <c r="H58" s="9">
        <v>10</v>
      </c>
      <c r="I58" s="11">
        <v>310000</v>
      </c>
      <c r="J58" s="8">
        <v>0.05</v>
      </c>
      <c r="K58" s="11">
        <f t="shared" si="0"/>
        <v>2945000</v>
      </c>
    </row>
    <row r="59" spans="1:11" x14ac:dyDescent="0.25">
      <c r="A59" t="s">
        <v>92</v>
      </c>
      <c r="B59" s="7">
        <v>46170</v>
      </c>
      <c r="C59" t="s">
        <v>18</v>
      </c>
      <c r="D59" t="s">
        <v>24</v>
      </c>
      <c r="E59" t="s">
        <v>34</v>
      </c>
      <c r="F59" t="s">
        <v>46</v>
      </c>
      <c r="G59" t="s">
        <v>31</v>
      </c>
      <c r="H59" s="9">
        <v>2</v>
      </c>
      <c r="I59" s="11">
        <v>4200000</v>
      </c>
      <c r="J59" s="8">
        <v>0.05</v>
      </c>
      <c r="K59" s="11">
        <f t="shared" si="0"/>
        <v>7980000</v>
      </c>
    </row>
    <row r="60" spans="1:11" x14ac:dyDescent="0.25">
      <c r="A60" t="s">
        <v>93</v>
      </c>
      <c r="B60" s="7">
        <v>46172</v>
      </c>
      <c r="C60" t="s">
        <v>18</v>
      </c>
      <c r="D60" t="s">
        <v>13</v>
      </c>
      <c r="E60" t="s">
        <v>14</v>
      </c>
      <c r="F60" t="s">
        <v>29</v>
      </c>
      <c r="G60" t="s">
        <v>16</v>
      </c>
      <c r="H60" s="9">
        <v>7</v>
      </c>
      <c r="I60" s="11">
        <v>310000</v>
      </c>
      <c r="J60" s="8">
        <v>0</v>
      </c>
      <c r="K60" s="11">
        <f t="shared" si="0"/>
        <v>2170000</v>
      </c>
    </row>
    <row r="61" spans="1:11" x14ac:dyDescent="0.25">
      <c r="A61" t="s">
        <v>94</v>
      </c>
      <c r="B61" s="7">
        <v>46174</v>
      </c>
      <c r="C61" t="s">
        <v>37</v>
      </c>
      <c r="D61" t="s">
        <v>33</v>
      </c>
      <c r="E61" t="s">
        <v>20</v>
      </c>
      <c r="F61" t="s">
        <v>21</v>
      </c>
      <c r="G61" t="s">
        <v>31</v>
      </c>
      <c r="H61" s="9">
        <v>11</v>
      </c>
      <c r="I61" s="11">
        <v>94000</v>
      </c>
      <c r="J61" s="8">
        <v>0</v>
      </c>
      <c r="K61" s="11">
        <f t="shared" si="0"/>
        <v>1034000</v>
      </c>
    </row>
    <row r="62" spans="1:11" x14ac:dyDescent="0.25">
      <c r="A62" t="s">
        <v>95</v>
      </c>
      <c r="B62" s="7">
        <v>46178</v>
      </c>
      <c r="C62" t="s">
        <v>18</v>
      </c>
      <c r="D62" t="s">
        <v>19</v>
      </c>
      <c r="E62" t="s">
        <v>34</v>
      </c>
      <c r="F62" t="s">
        <v>35</v>
      </c>
      <c r="G62" t="s">
        <v>22</v>
      </c>
      <c r="H62" s="9">
        <v>2</v>
      </c>
      <c r="I62" s="11">
        <v>2450000</v>
      </c>
      <c r="J62" s="8">
        <v>0.05</v>
      </c>
      <c r="K62" s="11">
        <f t="shared" si="0"/>
        <v>4655000</v>
      </c>
    </row>
    <row r="63" spans="1:11" x14ac:dyDescent="0.25">
      <c r="A63" t="s">
        <v>96</v>
      </c>
      <c r="B63" s="7">
        <v>46180</v>
      </c>
      <c r="C63" t="s">
        <v>37</v>
      </c>
      <c r="D63" t="s">
        <v>13</v>
      </c>
      <c r="E63" t="s">
        <v>52</v>
      </c>
      <c r="F63" t="s">
        <v>53</v>
      </c>
      <c r="G63" t="s">
        <v>31</v>
      </c>
      <c r="H63" s="9">
        <v>4</v>
      </c>
      <c r="I63" s="11">
        <v>68000</v>
      </c>
      <c r="J63" s="8">
        <v>0</v>
      </c>
      <c r="K63" s="11">
        <f t="shared" si="0"/>
        <v>272000</v>
      </c>
    </row>
    <row r="64" spans="1:11" x14ac:dyDescent="0.25">
      <c r="A64" t="s">
        <v>97</v>
      </c>
      <c r="B64" s="7">
        <v>46182</v>
      </c>
      <c r="C64" t="s">
        <v>18</v>
      </c>
      <c r="D64" t="s">
        <v>26</v>
      </c>
      <c r="E64" t="s">
        <v>52</v>
      </c>
      <c r="F64" t="s">
        <v>53</v>
      </c>
      <c r="G64" t="s">
        <v>22</v>
      </c>
      <c r="H64" s="9">
        <v>1</v>
      </c>
      <c r="I64" s="11">
        <v>68000</v>
      </c>
      <c r="J64" s="8">
        <v>0.1</v>
      </c>
      <c r="K64" s="11">
        <f t="shared" si="0"/>
        <v>61200</v>
      </c>
    </row>
    <row r="65" spans="1:11" x14ac:dyDescent="0.25">
      <c r="A65" t="s">
        <v>98</v>
      </c>
      <c r="B65" s="7">
        <v>46185</v>
      </c>
      <c r="C65" t="s">
        <v>18</v>
      </c>
      <c r="D65" t="s">
        <v>33</v>
      </c>
      <c r="E65" t="s">
        <v>14</v>
      </c>
      <c r="F65" t="s">
        <v>15</v>
      </c>
      <c r="G65" t="s">
        <v>31</v>
      </c>
      <c r="H65" s="9">
        <v>11</v>
      </c>
      <c r="I65" s="11">
        <v>520000</v>
      </c>
      <c r="J65" s="8">
        <v>0.15</v>
      </c>
      <c r="K65" s="11">
        <f t="shared" si="0"/>
        <v>4862000</v>
      </c>
    </row>
    <row r="66" spans="1:11" x14ac:dyDescent="0.25">
      <c r="A66" t="s">
        <v>99</v>
      </c>
      <c r="B66" s="7">
        <v>46188</v>
      </c>
      <c r="C66" t="s">
        <v>18</v>
      </c>
      <c r="D66" t="s">
        <v>13</v>
      </c>
      <c r="E66" t="s">
        <v>14</v>
      </c>
      <c r="F66" t="s">
        <v>29</v>
      </c>
      <c r="G66" t="s">
        <v>16</v>
      </c>
      <c r="H66" s="9">
        <v>4</v>
      </c>
      <c r="I66" s="11">
        <v>310000</v>
      </c>
      <c r="J66" s="8">
        <v>0</v>
      </c>
      <c r="K66" s="11">
        <f t="shared" si="0"/>
        <v>1240000</v>
      </c>
    </row>
    <row r="67" spans="1:11" x14ac:dyDescent="0.25">
      <c r="A67" t="s">
        <v>100</v>
      </c>
      <c r="B67" s="7">
        <v>46190</v>
      </c>
      <c r="C67" t="s">
        <v>12</v>
      </c>
      <c r="D67" t="s">
        <v>19</v>
      </c>
      <c r="E67" t="s">
        <v>20</v>
      </c>
      <c r="F67" t="s">
        <v>38</v>
      </c>
      <c r="G67" t="s">
        <v>22</v>
      </c>
      <c r="H67" s="9">
        <v>11</v>
      </c>
      <c r="I67" s="11">
        <v>185000</v>
      </c>
      <c r="J67" s="8">
        <v>0</v>
      </c>
      <c r="K67" s="11">
        <f t="shared" ref="K67:K81" si="1">H67*I67*(1-J67)</f>
        <v>2035000</v>
      </c>
    </row>
    <row r="68" spans="1:11" x14ac:dyDescent="0.25">
      <c r="A68" t="s">
        <v>101</v>
      </c>
      <c r="B68" s="7">
        <v>46192</v>
      </c>
      <c r="C68" t="s">
        <v>40</v>
      </c>
      <c r="D68" t="s">
        <v>33</v>
      </c>
      <c r="E68" t="s">
        <v>20</v>
      </c>
      <c r="F68" t="s">
        <v>27</v>
      </c>
      <c r="G68" t="s">
        <v>31</v>
      </c>
      <c r="H68" s="9">
        <v>11</v>
      </c>
      <c r="I68" s="11">
        <v>760000</v>
      </c>
      <c r="J68" s="8">
        <v>0.05</v>
      </c>
      <c r="K68" s="11">
        <f t="shared" si="1"/>
        <v>7942000</v>
      </c>
    </row>
    <row r="69" spans="1:11" x14ac:dyDescent="0.25">
      <c r="A69" t="s">
        <v>102</v>
      </c>
      <c r="B69" s="7">
        <v>46195</v>
      </c>
      <c r="C69" t="s">
        <v>37</v>
      </c>
      <c r="D69" t="s">
        <v>24</v>
      </c>
      <c r="E69" t="s">
        <v>34</v>
      </c>
      <c r="F69" t="s">
        <v>35</v>
      </c>
      <c r="G69" t="s">
        <v>22</v>
      </c>
      <c r="H69" s="9">
        <v>2</v>
      </c>
      <c r="I69" s="11">
        <v>2450000</v>
      </c>
      <c r="J69" s="8">
        <v>0</v>
      </c>
      <c r="K69" s="11">
        <f t="shared" si="1"/>
        <v>4900000</v>
      </c>
    </row>
    <row r="70" spans="1:11" x14ac:dyDescent="0.25">
      <c r="A70" t="s">
        <v>103</v>
      </c>
      <c r="B70" s="7">
        <v>46197</v>
      </c>
      <c r="C70" t="s">
        <v>40</v>
      </c>
      <c r="D70" t="s">
        <v>19</v>
      </c>
      <c r="E70" t="s">
        <v>20</v>
      </c>
      <c r="F70" t="s">
        <v>21</v>
      </c>
      <c r="G70" t="s">
        <v>22</v>
      </c>
      <c r="H70" s="9">
        <v>8</v>
      </c>
      <c r="I70" s="11">
        <v>94000</v>
      </c>
      <c r="J70" s="8">
        <v>0.05</v>
      </c>
      <c r="K70" s="11">
        <f t="shared" si="1"/>
        <v>714400</v>
      </c>
    </row>
    <row r="71" spans="1:11" x14ac:dyDescent="0.25">
      <c r="A71" t="s">
        <v>104</v>
      </c>
      <c r="B71" s="7">
        <v>46200</v>
      </c>
      <c r="C71" t="s">
        <v>12</v>
      </c>
      <c r="D71" t="s">
        <v>19</v>
      </c>
      <c r="E71" t="s">
        <v>14</v>
      </c>
      <c r="F71" t="s">
        <v>15</v>
      </c>
      <c r="G71" t="s">
        <v>22</v>
      </c>
      <c r="H71" s="9">
        <v>7</v>
      </c>
      <c r="I71" s="11">
        <v>520000</v>
      </c>
      <c r="J71" s="8">
        <v>0.05</v>
      </c>
      <c r="K71" s="11">
        <f t="shared" si="1"/>
        <v>3458000</v>
      </c>
    </row>
    <row r="72" spans="1:11" x14ac:dyDescent="0.25">
      <c r="A72" t="s">
        <v>105</v>
      </c>
      <c r="B72" s="7">
        <v>46203</v>
      </c>
      <c r="C72" t="s">
        <v>18</v>
      </c>
      <c r="D72" t="s">
        <v>13</v>
      </c>
      <c r="E72" t="s">
        <v>34</v>
      </c>
      <c r="F72" t="s">
        <v>46</v>
      </c>
      <c r="G72" t="s">
        <v>31</v>
      </c>
      <c r="H72" s="9">
        <v>2</v>
      </c>
      <c r="I72" s="11">
        <v>4200000</v>
      </c>
      <c r="J72" s="8">
        <v>0.1</v>
      </c>
      <c r="K72" s="11">
        <f t="shared" si="1"/>
        <v>7560000</v>
      </c>
    </row>
    <row r="73" spans="1:11" x14ac:dyDescent="0.25">
      <c r="A73" t="s">
        <v>106</v>
      </c>
      <c r="B73" s="7">
        <v>46204</v>
      </c>
      <c r="C73" t="s">
        <v>12</v>
      </c>
      <c r="D73" t="s">
        <v>24</v>
      </c>
      <c r="E73" t="s">
        <v>52</v>
      </c>
      <c r="F73" t="s">
        <v>53</v>
      </c>
      <c r="G73" t="s">
        <v>16</v>
      </c>
      <c r="H73" s="9">
        <v>1</v>
      </c>
      <c r="I73" s="11">
        <v>68000</v>
      </c>
      <c r="J73" s="8">
        <v>0.15</v>
      </c>
      <c r="K73" s="11">
        <f t="shared" si="1"/>
        <v>57800</v>
      </c>
    </row>
    <row r="74" spans="1:11" x14ac:dyDescent="0.25">
      <c r="A74" t="s">
        <v>107</v>
      </c>
      <c r="B74" s="7">
        <v>46207</v>
      </c>
      <c r="C74" t="s">
        <v>37</v>
      </c>
      <c r="D74" t="s">
        <v>33</v>
      </c>
      <c r="E74" t="s">
        <v>34</v>
      </c>
      <c r="F74" t="s">
        <v>35</v>
      </c>
      <c r="G74" t="s">
        <v>31</v>
      </c>
      <c r="H74" s="9">
        <v>2</v>
      </c>
      <c r="I74" s="11">
        <v>2450000</v>
      </c>
      <c r="J74" s="8">
        <v>0</v>
      </c>
      <c r="K74" s="11">
        <f t="shared" si="1"/>
        <v>4900000</v>
      </c>
    </row>
    <row r="75" spans="1:11" x14ac:dyDescent="0.25">
      <c r="A75" t="s">
        <v>108</v>
      </c>
      <c r="B75" s="7">
        <v>46209</v>
      </c>
      <c r="C75" t="s">
        <v>18</v>
      </c>
      <c r="D75" t="s">
        <v>13</v>
      </c>
      <c r="E75" t="s">
        <v>20</v>
      </c>
      <c r="F75" t="s">
        <v>27</v>
      </c>
      <c r="G75" t="s">
        <v>31</v>
      </c>
      <c r="H75" s="9">
        <v>11</v>
      </c>
      <c r="I75" s="11">
        <v>760000</v>
      </c>
      <c r="J75" s="8">
        <v>0</v>
      </c>
      <c r="K75" s="11">
        <f t="shared" si="1"/>
        <v>8360000</v>
      </c>
    </row>
    <row r="76" spans="1:11" x14ac:dyDescent="0.25">
      <c r="A76" t="s">
        <v>109</v>
      </c>
      <c r="B76" s="7">
        <v>46212</v>
      </c>
      <c r="C76" t="s">
        <v>40</v>
      </c>
      <c r="D76" t="s">
        <v>26</v>
      </c>
      <c r="E76" t="s">
        <v>14</v>
      </c>
      <c r="F76" t="s">
        <v>29</v>
      </c>
      <c r="G76" t="s">
        <v>22</v>
      </c>
      <c r="H76" s="9">
        <v>3</v>
      </c>
      <c r="I76" s="11">
        <v>310000</v>
      </c>
      <c r="J76" s="8">
        <v>0.05</v>
      </c>
      <c r="K76" s="11">
        <f t="shared" si="1"/>
        <v>883500</v>
      </c>
    </row>
    <row r="77" spans="1:11" x14ac:dyDescent="0.25">
      <c r="A77" t="s">
        <v>110</v>
      </c>
      <c r="B77" s="7">
        <v>46215</v>
      </c>
      <c r="C77" t="s">
        <v>12</v>
      </c>
      <c r="D77" t="s">
        <v>13</v>
      </c>
      <c r="E77" t="s">
        <v>20</v>
      </c>
      <c r="F77" t="s">
        <v>38</v>
      </c>
      <c r="G77" t="s">
        <v>22</v>
      </c>
      <c r="H77" s="9">
        <v>3</v>
      </c>
      <c r="I77" s="11">
        <v>185000</v>
      </c>
      <c r="J77" s="8">
        <v>0</v>
      </c>
      <c r="K77" s="11">
        <f t="shared" si="1"/>
        <v>555000</v>
      </c>
    </row>
    <row r="78" spans="1:11" x14ac:dyDescent="0.25">
      <c r="A78" t="s">
        <v>111</v>
      </c>
      <c r="B78" s="7">
        <v>46218</v>
      </c>
      <c r="C78" t="s">
        <v>37</v>
      </c>
      <c r="D78" t="s">
        <v>26</v>
      </c>
      <c r="E78" t="s">
        <v>20</v>
      </c>
      <c r="F78" t="s">
        <v>27</v>
      </c>
      <c r="G78" t="s">
        <v>22</v>
      </c>
      <c r="H78" s="9">
        <v>12</v>
      </c>
      <c r="I78" s="11">
        <v>760000</v>
      </c>
      <c r="J78" s="8">
        <v>0.1</v>
      </c>
      <c r="K78" s="11">
        <f t="shared" si="1"/>
        <v>8208000</v>
      </c>
    </row>
    <row r="79" spans="1:11" x14ac:dyDescent="0.25">
      <c r="A79" t="s">
        <v>112</v>
      </c>
      <c r="B79" s="7">
        <v>46220</v>
      </c>
      <c r="C79" t="s">
        <v>40</v>
      </c>
      <c r="D79" t="s">
        <v>19</v>
      </c>
      <c r="E79" t="s">
        <v>14</v>
      </c>
      <c r="F79" t="s">
        <v>15</v>
      </c>
      <c r="G79" t="s">
        <v>31</v>
      </c>
      <c r="H79" s="9">
        <v>2</v>
      </c>
      <c r="I79" s="11">
        <v>520000</v>
      </c>
      <c r="J79" s="8">
        <v>0</v>
      </c>
      <c r="K79" s="11">
        <f t="shared" si="1"/>
        <v>1040000</v>
      </c>
    </row>
    <row r="80" spans="1:11" x14ac:dyDescent="0.25">
      <c r="A80" t="s">
        <v>113</v>
      </c>
      <c r="B80" s="7">
        <v>46222</v>
      </c>
      <c r="C80" t="s">
        <v>12</v>
      </c>
      <c r="D80" t="s">
        <v>26</v>
      </c>
      <c r="E80" t="s">
        <v>14</v>
      </c>
      <c r="F80" t="s">
        <v>29</v>
      </c>
      <c r="G80" t="s">
        <v>31</v>
      </c>
      <c r="H80" s="9">
        <v>8</v>
      </c>
      <c r="I80" s="11">
        <v>310000</v>
      </c>
      <c r="J80" s="8">
        <v>0</v>
      </c>
      <c r="K80" s="11">
        <f t="shared" si="1"/>
        <v>2480000</v>
      </c>
    </row>
    <row r="81" spans="1:11" x14ac:dyDescent="0.25">
      <c r="A81" t="s">
        <v>114</v>
      </c>
      <c r="B81" s="7">
        <v>46224</v>
      </c>
      <c r="C81" t="s">
        <v>40</v>
      </c>
      <c r="D81" t="s">
        <v>19</v>
      </c>
      <c r="E81" t="s">
        <v>20</v>
      </c>
      <c r="F81" t="s">
        <v>21</v>
      </c>
      <c r="G81" t="s">
        <v>22</v>
      </c>
      <c r="H81" s="9">
        <v>6</v>
      </c>
      <c r="I81" s="11">
        <v>94000</v>
      </c>
      <c r="J81" s="8">
        <v>0.15</v>
      </c>
      <c r="K81" s="11">
        <f t="shared" si="1"/>
        <v>479400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8BEF8D7-1F2D-4655-8B11-ABFFDE867FC5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Ventas!K2</xm:f>
              <xm:sqref>L2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Parámetros</vt:lpstr>
      <vt:lpstr>Hoja3</vt:lpstr>
      <vt:lpstr>Hoja4</vt:lpstr>
      <vt:lpstr>Hoja5</vt:lpstr>
      <vt:lpstr>Hoja6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dcterms:created xsi:type="dcterms:W3CDTF">2026-09-11T21:39:54Z</dcterms:created>
  <dcterms:modified xsi:type="dcterms:W3CDTF">2026-09-15T02:06:49Z</dcterms:modified>
</cp:coreProperties>
</file>